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922b0b09328d329/Data World/Programas/Excel Básico a Avanzado/Módulos/"/>
    </mc:Choice>
  </mc:AlternateContent>
  <xr:revisionPtr revIDLastSave="182" documentId="13_ncr:1_{E1CB3145-177C-401C-8C14-1DC7035C6735}" xr6:coauthVersionLast="47" xr6:coauthVersionMax="47" xr10:uidLastSave="{4986A022-A501-4AF5-A64E-1B6B4A3D31E4}"/>
  <bookViews>
    <workbookView xWindow="-120" yWindow="-120" windowWidth="29040" windowHeight="16440" xr2:uid="{00000000-000D-0000-FFFF-FFFF00000000}"/>
  </bookViews>
  <sheets>
    <sheet name="Factura" sheetId="1" r:id="rId1"/>
    <sheet name="Configuración de empresa" sheetId="2" state="hidden" r:id="rId2"/>
  </sheets>
  <definedNames>
    <definedName name="Configuracióndeempresa_Abreviaturademoneda">INDEX('Configuración de empresa'!$C$3:$C$20,MATCH("Abreviatura de moneda",'Configuración de empresa'!$B$3:$B$20,0))</definedName>
    <definedName name="Configuracióndeempresa_Beneficiariodelcheque">INDEX('Configuración de empresa'!$C$3:$C$20,MATCH("Emita los cheques a nombre de",'Configuración de empresa'!$B$3:$B$20,0))</definedName>
    <definedName name="Configuracióndeempresa_Correoelectrónico">INDEX('Configuración de empresa'!$C$3:$C$20,MATCH("Correo electrónico",'Configuración de empresa'!$B$3:$B$20,0))</definedName>
    <definedName name="Configuracióndeempresa_Cuentabancaria">INDEX('Configuración de empresa'!$C$3:$C$20,MATCH("Número de cuenta",'Configuración de empresa'!$B$3:$B$20,0))</definedName>
    <definedName name="Configuracióndeempresa_Direcciónbancaria">INDEX('Configuración de empresa'!$C$3:$C$20,MATCH("Dirección del banco",'Configuración de empresa'!$B$3:$B$20,0))</definedName>
    <definedName name="Configuracióndeempresa_DirecciónLínea1">INDEX('Configuración de empresa'!$C$3:$C$20,MATCH("Dirección - Línea 1",'Configuración de empresa'!$B$3:$B$20,0))</definedName>
    <definedName name="Configuracióndeempresa_DirecciónLínea2">INDEX('Configuración de empresa'!$C$3:$C$20,MATCH("Dirección - Línea 2",'Configuración de empresa'!$B$3:$B$20,0))</definedName>
    <definedName name="Configuracióndeempresa_DirecciónLínea3">INDEX('Configuración de empresa'!$C$3:$C$20,MATCH("Dirección - Línea 3",'Configuración de empresa'!$B$3:$B$20,0))</definedName>
    <definedName name="Configuracióndeempresa_DirecciónLínea4">INDEX('Configuración de empresa'!$C$3:$C$20,MATCH("Dirección - Línea 4",'Configuración de empresa'!$B$3:$B$20,0))</definedName>
    <definedName name="Configuracióndeempresa_DirecciónLínea5">INDEX('Configuración de empresa'!$C$3:$C$20,MATCH("Dirección - Línea 5",'Configuración de empresa'!$B$3:$B$20,0))</definedName>
    <definedName name="Configuracióndeempresa_DirecciónURL">INDEX('Configuración de empresa'!$C$3:$C$20,MATCH("Sitio web",'Configuración de empresa'!$B$3:$B$20,0))</definedName>
    <definedName name="Configuracióndeempresa_IdentificacióndelBanco">INDEX('Configuración de empresa'!$C$3:$C$20,MATCH("Número de identificación del banco (código SWIFT)",'Configuración de empresa'!$B$3:$B$20,0))</definedName>
    <definedName name="Configuracióndeempresa_Nombredelacompañía">INDEX('Configuración de empresa'!$C$3:$C$20,MATCH("Nombre de la compañía",'Configuración de empresa'!$B$3:$B$20,0))</definedName>
    <definedName name="Configuracióndeempresa_Nombredelbanco">INDEX('Configuración de empresa'!$C$3:$C$20,MATCH("Nombre del banco",'Configuración de empresa'!$B$3:$B$20,0))</definedName>
    <definedName name="Configuracióndeempresa_NombredelBancoBeneficiario">INDEX('Configuración de empresa'!$C$3:$C$20,MATCH("Nombre del beneficiario de la transferencia bancaria",'Configuración de empresa'!$B$3:$B$20,0))</definedName>
    <definedName name="Configuracióndeempresa_Sufax">INDEX('Configuración de empresa'!$C$3:$C$20,MATCH("Facsímile",'Configuración de empresa'!$B$3:$B$20,0))</definedName>
    <definedName name="Configuracióndeempresa_Sunombre">INDEX('Configuración de empresa'!$C$3:$C$20,MATCH("Su nombre",'Configuración de empresa'!$B$3:$B$20,0))</definedName>
    <definedName name="Configuracióndeempresa_Teléfono">INDEX('Configuración de empresa'!$C$3:$C$20,MATCH("Teléfono",'Configuración de empresa'!$B$3:$B$20,0))</definedName>
    <definedName name="Totalfactura">Factura!$E$33</definedName>
    <definedName name="Visualizacióndelnúmerodefactura">Factura!$C$2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1" l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B41" i="1"/>
  <c r="D8" i="1" l="1"/>
  <c r="D7" i="1"/>
  <c r="D6" i="1"/>
  <c r="B3" i="1"/>
  <c r="B4" i="1" s="1"/>
  <c r="B38" i="1" l="1"/>
  <c r="E38" i="1" l="1"/>
  <c r="B44" i="1"/>
  <c r="B42" i="1"/>
  <c r="B40" i="1"/>
  <c r="B39" i="1"/>
  <c r="B37" i="1"/>
  <c r="E15" i="1" l="1"/>
  <c r="E42" i="1" l="1"/>
  <c r="E41" i="1"/>
  <c r="E40" i="1"/>
  <c r="E39" i="1"/>
  <c r="E37" i="1"/>
  <c r="D33" i="1" l="1"/>
  <c r="E10" i="1" l="1"/>
  <c r="E31" i="1" l="1"/>
  <c r="E33" i="1" s="1"/>
  <c r="D3" i="1" s="1"/>
</calcChain>
</file>

<file path=xl/sharedStrings.xml><?xml version="1.0" encoding="utf-8"?>
<sst xmlns="http://schemas.openxmlformats.org/spreadsheetml/2006/main" count="46" uniqueCount="44">
  <si>
    <t>FACTURA</t>
  </si>
  <si>
    <t xml:space="preserve"> </t>
  </si>
  <si>
    <t>CECILIA CORNEJO</t>
  </si>
  <si>
    <t>Fabrikam, Inc.</t>
  </si>
  <si>
    <t xml:space="preserve">CANTIDAD </t>
  </si>
  <si>
    <t>DETALLES</t>
  </si>
  <si>
    <t>PRECIO UNITARIO</t>
  </si>
  <si>
    <t>TOTAL DE LÍNEA</t>
  </si>
  <si>
    <t>Descuento</t>
  </si>
  <si>
    <t>Total neto</t>
  </si>
  <si>
    <t>Impuesto</t>
  </si>
  <si>
    <t>DETALLES DEL PAGO</t>
  </si>
  <si>
    <t>INFORMACIÓN ADICIONAL</t>
  </si>
  <si>
    <t>CONFIGURACIÓN DE LA EMPRESA</t>
  </si>
  <si>
    <t xml:space="preserve">DATOS SOBRE SU EMPRESA </t>
  </si>
  <si>
    <t>VALOR</t>
  </si>
  <si>
    <t>Su nombre</t>
  </si>
  <si>
    <t>Enrique Gil</t>
  </si>
  <si>
    <t>Nombre de la compañía</t>
  </si>
  <si>
    <t>ADVENTURE WORKS</t>
  </si>
  <si>
    <t>Dirección - Línea 1</t>
  </si>
  <si>
    <t>23456 Maple Street</t>
  </si>
  <si>
    <t>Dirección - Línea 2</t>
  </si>
  <si>
    <t>Orange Grove, CA 09876</t>
  </si>
  <si>
    <t>Dirección - Línea 3</t>
  </si>
  <si>
    <t>Dirección - Línea 4</t>
  </si>
  <si>
    <t>Dirección - Línea 5</t>
  </si>
  <si>
    <t>Consecutivo</t>
  </si>
  <si>
    <t>Celular</t>
  </si>
  <si>
    <t>Sitio web</t>
  </si>
  <si>
    <t>Adventure-Works.com</t>
  </si>
  <si>
    <t>Correo electrónico</t>
  </si>
  <si>
    <t>Accounting@Adventure-Works.com</t>
  </si>
  <si>
    <t>Abreviatura de moneda</t>
  </si>
  <si>
    <t>USD</t>
  </si>
  <si>
    <t>Nombre del beneficiario de la transferencia bancaria</t>
  </si>
  <si>
    <t>Adventure Works</t>
  </si>
  <si>
    <t>Nombre del banco</t>
  </si>
  <si>
    <t>Woodgrove Bank</t>
  </si>
  <si>
    <t>Dirección del banco</t>
  </si>
  <si>
    <t>234 Main St. Orange Grove, CA 09876</t>
  </si>
  <si>
    <t>Número de cuenta</t>
  </si>
  <si>
    <t>Número de identificación del banco (CLABE Interbancaria)</t>
  </si>
  <si>
    <t>Emita los cheques a nombre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</si>
</sst>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#,##0.00\ &quot;€&quot;"/>
    <numFmt numFmtId="165" formatCode="dd&quot; de &quot;mmmm&quot; de &quot;yyyy"/>
    <numFmt numFmtId="166" formatCode="#,##0.00\ _€"/>
    <numFmt numFmtId="167" formatCode="#,##0.00;;"/>
    <numFmt numFmtId="168" formatCode="&quot;$&quot;#,##0.00"/>
    <numFmt numFmtId="169" formatCode="0000"/>
  </numFmts>
  <fonts count="19" x14ac:knownFonts="1">
    <font>
      <sz val="8"/>
      <color theme="3"/>
      <name val="Verdana"/>
      <family val="2"/>
      <scheme val="minor"/>
    </font>
    <font>
      <sz val="11"/>
      <name val="Verdana"/>
      <family val="2"/>
      <scheme val="minor"/>
    </font>
    <font>
      <sz val="11"/>
      <color rgb="FF969696"/>
      <name val="Verdana"/>
      <family val="2"/>
      <scheme val="minor"/>
    </font>
    <font>
      <b/>
      <sz val="16"/>
      <color rgb="FF00679A"/>
      <name val="Verdana"/>
      <family val="2"/>
      <scheme val="minor"/>
    </font>
    <font>
      <sz val="8"/>
      <color theme="1"/>
      <name val="Verdana"/>
      <family val="2"/>
      <scheme val="minor"/>
    </font>
    <font>
      <sz val="8"/>
      <name val="Verdana"/>
      <family val="2"/>
      <scheme val="minor"/>
    </font>
    <font>
      <sz val="8"/>
      <color theme="3"/>
      <name val="Verdana"/>
      <family val="2"/>
      <scheme val="minor"/>
    </font>
    <font>
      <sz val="10"/>
      <color theme="4" tint="-0.249977111117893"/>
      <name val="Sylfaen"/>
      <family val="1"/>
      <scheme val="major"/>
    </font>
    <font>
      <b/>
      <sz val="8"/>
      <color theme="3"/>
      <name val="Verdana"/>
      <family val="2"/>
      <scheme val="minor"/>
    </font>
    <font>
      <sz val="7"/>
      <color rgb="FF473530"/>
      <name val="Verdana"/>
      <family val="2"/>
      <scheme val="minor"/>
    </font>
    <font>
      <b/>
      <i/>
      <sz val="8"/>
      <color theme="3"/>
      <name val="Verdana"/>
      <family val="2"/>
      <scheme val="minor"/>
    </font>
    <font>
      <b/>
      <sz val="8"/>
      <name val="Verdana"/>
      <family val="2"/>
      <scheme val="minor"/>
    </font>
    <font>
      <u/>
      <sz val="11"/>
      <name val="Verdana"/>
      <family val="2"/>
      <scheme val="minor"/>
    </font>
    <font>
      <sz val="20"/>
      <name val="Franklin Gothic Heavy"/>
      <family val="2"/>
    </font>
    <font>
      <sz val="22"/>
      <color rgb="FFC00000"/>
      <name val="Verdana"/>
      <family val="2"/>
      <scheme val="minor"/>
    </font>
    <font>
      <sz val="12"/>
      <color theme="1"/>
      <name val="Franklin Gothic Book"/>
      <family val="2"/>
    </font>
    <font>
      <sz val="11"/>
      <color rgb="FFC00000"/>
      <name val="Verdana"/>
      <family val="2"/>
      <scheme val="minor"/>
    </font>
    <font>
      <sz val="20"/>
      <color theme="3"/>
      <name val="Franklin Gothic Heavy"/>
      <family val="2"/>
    </font>
    <font>
      <sz val="20"/>
      <color theme="3" tint="-0.499984740745262"/>
      <name val="Sylfae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EBEB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2"/>
      </top>
      <bottom/>
      <diagonal/>
    </border>
    <border>
      <left/>
      <right/>
      <top/>
      <bottom style="thick">
        <color theme="3"/>
      </bottom>
      <diagonal/>
    </border>
    <border>
      <left/>
      <right/>
      <top/>
      <bottom style="thin">
        <color theme="3"/>
      </bottom>
      <diagonal/>
    </border>
    <border>
      <left/>
      <right/>
      <top style="thick">
        <color theme="3"/>
      </top>
      <bottom/>
      <diagonal/>
    </border>
    <border>
      <left/>
      <right/>
      <top style="thin">
        <color theme="2"/>
      </top>
      <bottom style="thin">
        <color theme="3"/>
      </bottom>
      <diagonal/>
    </border>
    <border>
      <left/>
      <right/>
      <top style="thin">
        <color theme="3"/>
      </top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1" fillId="0" borderId="3" xfId="0" applyFont="1" applyBorder="1">
      <alignment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7" fillId="0" borderId="3" xfId="0" applyFont="1" applyBorder="1" applyAlignment="1">
      <alignment horizontal="left"/>
    </xf>
    <xf numFmtId="0" fontId="15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49" fontId="0" fillId="0" borderId="0" xfId="0" applyNumberFormat="1">
      <alignment vertical="center"/>
    </xf>
    <xf numFmtId="164" fontId="12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164" fontId="13" fillId="0" borderId="0" xfId="0" applyNumberFormat="1" applyFont="1">
      <alignment vertical="center"/>
    </xf>
    <xf numFmtId="169" fontId="18" fillId="0" borderId="0" xfId="0" applyNumberFormat="1" applyFont="1" applyAlignment="1">
      <alignment horizontal="left" vertical="center"/>
    </xf>
    <xf numFmtId="164" fontId="11" fillId="0" borderId="6" xfId="0" applyNumberFormat="1" applyFont="1" applyBorder="1">
      <alignment vertical="center"/>
    </xf>
    <xf numFmtId="164" fontId="1" fillId="0" borderId="6" xfId="0" applyNumberFormat="1" applyFont="1" applyBorder="1">
      <alignment vertical="center"/>
    </xf>
    <xf numFmtId="164" fontId="6" fillId="0" borderId="0" xfId="0" applyNumberFormat="1" applyFont="1">
      <alignment vertical="center"/>
    </xf>
    <xf numFmtId="164" fontId="6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right"/>
    </xf>
    <xf numFmtId="164" fontId="6" fillId="0" borderId="3" xfId="0" applyNumberFormat="1" applyFont="1" applyBorder="1">
      <alignment vertical="center"/>
    </xf>
    <xf numFmtId="164" fontId="1" fillId="0" borderId="3" xfId="0" applyNumberFormat="1" applyFont="1" applyBorder="1">
      <alignment vertical="center"/>
    </xf>
    <xf numFmtId="164" fontId="3" fillId="0" borderId="3" xfId="0" applyNumberFormat="1" applyFont="1" applyBorder="1" applyAlignment="1">
      <alignment horizontal="right" indent="1"/>
    </xf>
    <xf numFmtId="164" fontId="10" fillId="0" borderId="3" xfId="0" applyNumberFormat="1" applyFont="1" applyBorder="1">
      <alignment vertical="center"/>
    </xf>
    <xf numFmtId="164" fontId="2" fillId="0" borderId="0" xfId="0" applyNumberFormat="1" applyFont="1">
      <alignment vertical="center"/>
    </xf>
    <xf numFmtId="164" fontId="15" fillId="0" borderId="0" xfId="0" applyNumberFormat="1" applyFont="1" applyAlignment="1">
      <alignment horizontal="left" vertical="center" indent="1"/>
    </xf>
    <xf numFmtId="164" fontId="15" fillId="0" borderId="0" xfId="0" applyNumberFormat="1" applyFont="1" applyAlignment="1">
      <alignment horizontal="right" vertical="center" indent="1"/>
    </xf>
    <xf numFmtId="0" fontId="4" fillId="3" borderId="2" xfId="0" applyFont="1" applyFill="1" applyBorder="1" applyAlignment="1">
      <alignment horizontal="left" vertical="center" indent="1"/>
    </xf>
    <xf numFmtId="164" fontId="4" fillId="3" borderId="2" xfId="0" applyNumberFormat="1" applyFont="1" applyFill="1" applyBorder="1" applyAlignment="1">
      <alignment horizontal="left" vertical="center" indent="1"/>
    </xf>
    <xf numFmtId="166" fontId="4" fillId="3" borderId="2" xfId="0" applyNumberFormat="1" applyFont="1" applyFill="1" applyBorder="1" applyAlignment="1">
      <alignment horizontal="right" vertical="center" indent="1"/>
    </xf>
    <xf numFmtId="164" fontId="4" fillId="0" borderId="0" xfId="0" applyNumberFormat="1" applyFont="1" applyAlignment="1">
      <alignment horizontal="left" vertical="center" indent="1"/>
    </xf>
    <xf numFmtId="166" fontId="4" fillId="0" borderId="0" xfId="0" applyNumberFormat="1" applyFont="1" applyAlignment="1">
      <alignment horizontal="right" vertical="center" indent="1"/>
    </xf>
    <xf numFmtId="164" fontId="1" fillId="0" borderId="0" xfId="0" applyNumberFormat="1" applyFont="1" applyAlignment="1">
      <alignment vertical="top"/>
    </xf>
    <xf numFmtId="164" fontId="5" fillId="0" borderId="2" xfId="0" applyNumberFormat="1" applyFont="1" applyBorder="1">
      <alignment vertical="center"/>
    </xf>
    <xf numFmtId="164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 vertical="center" indent="1"/>
    </xf>
    <xf numFmtId="164" fontId="5" fillId="0" borderId="0" xfId="0" applyNumberFormat="1" applyFont="1">
      <alignment vertical="center"/>
    </xf>
    <xf numFmtId="164" fontId="6" fillId="0" borderId="0" xfId="0" applyNumberFormat="1" applyFont="1" applyAlignment="1">
      <alignment horizontal="right" indent="1"/>
    </xf>
    <xf numFmtId="164" fontId="6" fillId="0" borderId="0" xfId="0" applyNumberFormat="1" applyFont="1" applyAlignment="1">
      <alignment horizontal="right" vertical="center" indent="1"/>
    </xf>
    <xf numFmtId="168" fontId="6" fillId="0" borderId="0" xfId="0" applyNumberFormat="1" applyFont="1" applyAlignment="1">
      <alignment horizontal="right" vertical="center" indent="1"/>
    </xf>
    <xf numFmtId="164" fontId="5" fillId="0" borderId="0" xfId="0" applyNumberFormat="1" applyFont="1" applyAlignment="1">
      <alignment vertical="top"/>
    </xf>
    <xf numFmtId="164" fontId="1" fillId="0" borderId="1" xfId="0" applyNumberFormat="1" applyFont="1" applyBorder="1">
      <alignment vertical="center"/>
    </xf>
    <xf numFmtId="164" fontId="7" fillId="0" borderId="0" xfId="0" applyNumberFormat="1" applyFont="1" applyAlignment="1">
      <alignment horizontal="left"/>
    </xf>
    <xf numFmtId="164" fontId="7" fillId="0" borderId="0" xfId="0" applyNumberFormat="1" applyFont="1">
      <alignment vertical="center"/>
    </xf>
    <xf numFmtId="164" fontId="7" fillId="0" borderId="0" xfId="0" applyNumberFormat="1" applyFont="1" applyAlignment="1">
      <alignment horizontal="right"/>
    </xf>
    <xf numFmtId="164" fontId="1" fillId="0" borderId="4" xfId="0" applyNumberFormat="1" applyFont="1" applyBorder="1">
      <alignment vertical="center"/>
    </xf>
    <xf numFmtId="164" fontId="9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4" borderId="2" xfId="0" applyFont="1" applyFill="1" applyBorder="1" applyAlignment="1">
      <alignment horizontal="left" vertical="center" indent="1"/>
    </xf>
    <xf numFmtId="168" fontId="14" fillId="0" borderId="5" xfId="0" applyNumberFormat="1" applyFont="1" applyBorder="1" applyAlignment="1">
      <alignment horizontal="right" vertical="center" indent="1"/>
    </xf>
    <xf numFmtId="168" fontId="14" fillId="0" borderId="4" xfId="0" applyNumberFormat="1" applyFont="1" applyBorder="1" applyAlignment="1">
      <alignment horizontal="right" vertical="center" indent="1"/>
    </xf>
    <xf numFmtId="165" fontId="5" fillId="0" borderId="5" xfId="0" applyNumberFormat="1" applyFont="1" applyBorder="1" applyAlignment="1">
      <alignment horizontal="left" vertical="center"/>
    </xf>
    <xf numFmtId="164" fontId="8" fillId="0" borderId="7" xfId="0" applyNumberFormat="1" applyFont="1" applyBorder="1" applyAlignment="1">
      <alignment horizontal="left" vertical="center" wrapText="1"/>
    </xf>
    <xf numFmtId="164" fontId="16" fillId="0" borderId="1" xfId="0" applyNumberFormat="1" applyFont="1" applyBorder="1" applyAlignment="1">
      <alignment horizontal="right" vertical="center" indent="1"/>
    </xf>
    <xf numFmtId="164" fontId="16" fillId="0" borderId="3" xfId="0" applyNumberFormat="1" applyFont="1" applyBorder="1" applyAlignment="1">
      <alignment horizontal="right" vertical="center" indent="1"/>
    </xf>
    <xf numFmtId="168" fontId="16" fillId="0" borderId="1" xfId="0" applyNumberFormat="1" applyFont="1" applyBorder="1" applyAlignment="1">
      <alignment horizontal="right" vertical="center" indent="1"/>
    </xf>
    <xf numFmtId="168" fontId="16" fillId="0" borderId="3" xfId="0" applyNumberFormat="1" applyFont="1" applyBorder="1" applyAlignment="1">
      <alignment horizontal="right" vertical="center" indent="1"/>
    </xf>
    <xf numFmtId="164" fontId="8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8" fillId="0" borderId="0" xfId="0" applyNumberFormat="1" applyFont="1">
      <alignment vertical="center"/>
    </xf>
    <xf numFmtId="164" fontId="6" fillId="0" borderId="0" xfId="0" applyNumberFormat="1" applyFont="1">
      <alignment vertical="center"/>
    </xf>
    <xf numFmtId="0" fontId="6" fillId="3" borderId="0" xfId="0" applyFont="1" applyFill="1" applyAlignment="1">
      <alignment horizontal="left" vertical="center"/>
    </xf>
    <xf numFmtId="0" fontId="0" fillId="0" borderId="3" xfId="0" applyBorder="1" applyAlignment="1">
      <alignment horizontal="left"/>
    </xf>
  </cellXfs>
  <cellStyles count="1">
    <cellStyle name="Normal" xfId="0" builtinId="0" customBuiltin="1"/>
  </cellStyles>
  <dxfs count="4">
    <dxf>
      <font>
        <b val="0"/>
        <i val="0"/>
        <color theme="3"/>
      </font>
      <fill>
        <patternFill>
          <bgColor rgb="FFFFEBEB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/>
        <right/>
        <top style="thin">
          <color theme="2"/>
        </top>
        <bottom style="thin">
          <color theme="3"/>
        </bottom>
        <vertical/>
        <horizontal/>
      </border>
    </dxf>
    <dxf>
      <font>
        <b val="0"/>
        <i val="0"/>
        <color theme="4" tint="-0.24994659260841701"/>
      </font>
      <fill>
        <patternFill patternType="none">
          <bgColor auto="1"/>
        </patternFill>
      </fill>
      <border>
        <left/>
        <right/>
        <top/>
        <bottom style="thin">
          <color theme="2"/>
        </bottom>
        <vertical/>
        <horizontal/>
      </border>
    </dxf>
    <dxf>
      <font>
        <b val="0"/>
        <i val="0"/>
        <color theme="3"/>
      </font>
      <fill>
        <patternFill patternType="none"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Billing Invoice" defaultPivotStyle="PivotStyleLight16">
    <tableStyle name="Billing Invoice" pivot="0" count="4" xr9:uid="{00000000-0011-0000-FFFF-FFFF00000000}">
      <tableStyleElement type="wholeTable" dxfId="3"/>
      <tableStyleElement type="headerRow" dxfId="2"/>
      <tableStyleElement type="totalRow" dxfId="1"/>
      <tableStyleElement type="firstRowStripe" dxfId="0"/>
    </tableStyle>
  </tableStyles>
  <colors>
    <mruColors>
      <color rgb="FF00679A"/>
      <color rgb="FFFFEBEB"/>
      <color rgb="FFFFB3B3"/>
      <color rgb="FFFFFFFF"/>
      <color rgb="FFF7F7F7"/>
      <color rgb="FFF0FFD9"/>
      <color rgb="FFF2F2F2"/>
      <color rgb="FF009AE4"/>
      <color rgb="FF757575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#Worksheet!A1"/><Relationship Id="rId1" Type="http://schemas.openxmlformats.org/officeDocument/2006/relationships/hyperlink" Target="#Factur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6</xdr:row>
      <xdr:rowOff>171449</xdr:rowOff>
    </xdr:from>
    <xdr:to>
      <xdr:col>15</xdr:col>
      <xdr:colOff>114300</xdr:colOff>
      <xdr:row>40</xdr:row>
      <xdr:rowOff>9525</xdr:rowOff>
    </xdr:to>
    <xdr:sp macro="" textlink="">
      <xdr:nvSpPr>
        <xdr:cNvPr id="10" name="Rectangl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8477250" y="2038349"/>
          <a:ext cx="4953000" cy="6934201"/>
        </a:xfrm>
        <a:prstGeom prst="rect">
          <a:avLst/>
        </a:prstGeom>
        <a:solidFill>
          <a:srgbClr val="679E2A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400" b="1"/>
            <a:t>Instrucciones</a:t>
          </a:r>
        </a:p>
        <a:p>
          <a:pPr algn="l"/>
          <a:r>
            <a:rPr lang="es-MX" sz="1000" b="0" baseline="0"/>
            <a:t>Esta factura necesita ser protegida para evitar que los usuarios la vayan a desgraciar. </a:t>
          </a:r>
        </a:p>
        <a:p>
          <a:pPr algn="l"/>
          <a:endParaRPr lang="es-MX" sz="1000" b="0" baseline="0"/>
        </a:p>
        <a:p>
          <a:pPr algn="l"/>
          <a:r>
            <a:rPr lang="es-MX" sz="1000" b="0" baseline="0"/>
            <a:t>1.- Utilizar las propiedades de formato (Ctrl + 1) para desbloquear única y exclusivamente las celdas </a:t>
          </a:r>
          <a:r>
            <a:rPr lang="es-MX" sz="1000" b="1" baseline="0"/>
            <a:t>B15:D29</a:t>
          </a:r>
          <a:r>
            <a:rPr lang="es-MX" sz="1000" b="0" baseline="0"/>
            <a:t> de la hoja </a:t>
          </a:r>
          <a:r>
            <a:rPr lang="es-MX" sz="1000" b="1" baseline="0"/>
            <a:t>Factura.</a:t>
          </a:r>
          <a:r>
            <a:rPr lang="es-MX" sz="1000" b="0" baseline="0"/>
            <a:t> </a:t>
          </a:r>
        </a:p>
        <a:p>
          <a:pPr algn="l"/>
          <a:endParaRPr lang="es-MX" sz="1000" b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2.- Cambia el formato de la celda </a:t>
          </a:r>
          <a:r>
            <a:rPr lang="es-MX" sz="1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B8</a:t>
          </a:r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para que muestre los teléfonos en la forma (300) 248-1752. Aplica una validación de datos para que solo acepte 10 dígitos. Cambia los mensajes de error en la validación para que el usuario sepa que se necesitan 10 dígitos. </a:t>
          </a:r>
        </a:p>
        <a:p>
          <a:pPr algn="l"/>
          <a:endParaRPr lang="es-MX" sz="1000" b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3.- Cambia el formato de la celda </a:t>
          </a:r>
          <a:r>
            <a:rPr lang="es-MX" sz="10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B9 </a:t>
          </a:r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para que muestre los consecutivos en la forma 044-331-712-8039. Aplica una validación de datos para que solo acepte 13 dígitos. Cambia los mensajes de error en la validación para que el usuario sepa que se necesitan 13 dígitos.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000" b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4.- Protege la hoja Factura contra cambios. Utiliza la contraseña "Factura". 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000" b="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10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5.- Protege la estructura del Libro. Utiliza la contraseña "Factura".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MX" sz="1000">
            <a:effectLst/>
          </a:endParaRPr>
        </a:p>
        <a:p>
          <a:pPr algn="l"/>
          <a:endParaRPr lang="es-MX" sz="1000" b="1" baseline="0"/>
        </a:p>
        <a:p>
          <a:pPr algn="l"/>
          <a:endParaRPr lang="es-MX" sz="1100" b="0" baseline="0"/>
        </a:p>
        <a:p>
          <a:pPr algn="l"/>
          <a:endParaRPr lang="es-MX" sz="1100" b="1"/>
        </a:p>
      </xdr:txBody>
    </xdr:sp>
    <xdr:clientData/>
  </xdr:twoCellAnchor>
  <xdr:twoCellAnchor editAs="oneCell">
    <xdr:from>
      <xdr:col>4</xdr:col>
      <xdr:colOff>314325</xdr:colOff>
      <xdr:row>0</xdr:row>
      <xdr:rowOff>66675</xdr:rowOff>
    </xdr:from>
    <xdr:to>
      <xdr:col>4</xdr:col>
      <xdr:colOff>1066800</xdr:colOff>
      <xdr:row>1</xdr:row>
      <xdr:rowOff>476250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3E90888-65F5-404E-B3D0-46A4CF3AE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62725" y="66675"/>
          <a:ext cx="7524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0</xdr:rowOff>
    </xdr:from>
    <xdr:to>
      <xdr:col>6</xdr:col>
      <xdr:colOff>133351</xdr:colOff>
      <xdr:row>3</xdr:row>
      <xdr:rowOff>0</xdr:rowOff>
    </xdr:to>
    <xdr:grpSp>
      <xdr:nvGrpSpPr>
        <xdr:cNvPr id="4" name="Grupo 3" descr="&quot;&quot;" title="Botones de navegación de facturas">
          <a:hlinkClick xmlns:r="http://schemas.openxmlformats.org/officeDocument/2006/relationships" r:id="rId1" tooltip="Haga clic para ver o editar la factura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7258050" y="438150"/>
          <a:ext cx="1704976" cy="523875"/>
          <a:chOff x="5181600" y="438150"/>
          <a:chExt cx="1685926" cy="523875"/>
        </a:xfrm>
        <a:solidFill>
          <a:srgbClr val="C00000"/>
        </a:solidFill>
      </xdr:grpSpPr>
      <xdr:grpSp>
        <xdr:nvGrpSpPr>
          <xdr:cNvPr id="11" name="Grupo 10">
            <a:hlinkClick xmlns:r="http://schemas.openxmlformats.org/officeDocument/2006/relationships" r:id="rId2" tooltip="Go to Worksheet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GrpSpPr/>
        </xdr:nvGrpSpPr>
        <xdr:grpSpPr>
          <a:xfrm>
            <a:off x="5305424" y="542926"/>
            <a:ext cx="1444752" cy="310896"/>
            <a:chOff x="10191750" y="1095375"/>
            <a:chExt cx="1444752" cy="310896"/>
          </a:xfrm>
          <a:grpFill/>
        </xdr:grpSpPr>
        <xdr:sp macro="[0]!shpButtonCompany_Click" textlink="">
          <xdr:nvSpPr>
            <xdr:cNvPr id="16" name="Cuadro de text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 txBox="1"/>
          </xdr:nvSpPr>
          <xdr:spPr>
            <a:xfrm>
              <a:off x="10191750" y="1095375"/>
              <a:ext cx="1444752" cy="310896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marL="0" marR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50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FACTURA</a:t>
              </a:r>
              <a:endParaRPr lang="en-US" sz="1050">
                <a:solidFill>
                  <a:schemeClr val="bg1"/>
                </a:solidFill>
              </a:endParaRPr>
            </a:p>
          </xdr:txBody>
        </xdr:sp>
        <xdr:sp macro="[0]!shpButtonCompany_Click" textlink="">
          <xdr:nvSpPr>
            <xdr:cNvPr id="17" name="Cuadro de texto 16">
              <a:extLst>
                <a:ext uri="{FF2B5EF4-FFF2-40B4-BE49-F238E27FC236}">
                  <a16:creationId xmlns:a16="http://schemas.microsoft.com/office/drawing/2014/main" id="{00000000-0008-0000-0100-000011000000}"/>
                </a:ext>
              </a:extLst>
            </xdr:cNvPr>
            <xdr:cNvSpPr txBox="1"/>
          </xdr:nvSpPr>
          <xdr:spPr>
            <a:xfrm>
              <a:off x="10220326" y="1123950"/>
              <a:ext cx="1380744" cy="246888"/>
            </a:xfrm>
            <a:prstGeom prst="rect">
              <a:avLst/>
            </a:prstGeom>
            <a:grpFill/>
            <a:ln w="9525" cmpd="sng">
              <a:solidFill>
                <a:srgbClr val="FFFFFF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endParaRPr lang="en-US" sz="1100"/>
            </a:p>
          </xdr:txBody>
        </xdr:sp>
      </xdr:grpSp>
      <xdr:grpSp>
        <xdr:nvGrpSpPr>
          <xdr:cNvPr id="2" name="Grupo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GrpSpPr/>
        </xdr:nvGrpSpPr>
        <xdr:grpSpPr>
          <a:xfrm>
            <a:off x="5181600" y="438150"/>
            <a:ext cx="1685926" cy="523875"/>
            <a:chOff x="5181600" y="438150"/>
            <a:chExt cx="1685926" cy="523875"/>
          </a:xfrm>
          <a:grpFill/>
        </xdr:grpSpPr>
        <xdr:sp macro="" textlink="">
          <xdr:nvSpPr>
            <xdr:cNvPr id="9" name="Cuadro de texto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 txBox="1"/>
          </xdr:nvSpPr>
          <xdr:spPr>
            <a:xfrm>
              <a:off x="5181600" y="457201"/>
              <a:ext cx="1673352" cy="504824"/>
            </a:xfrm>
            <a:prstGeom prst="rect">
              <a:avLst/>
            </a:prstGeom>
            <a:grpFill/>
            <a:ln>
              <a:solidFill>
                <a:schemeClr val="bg2"/>
              </a:solidFill>
            </a:ln>
            <a:effectLst/>
          </xdr:spPr>
          <xdr:style>
            <a:lnRef idx="1">
              <a:schemeClr val="accent3"/>
            </a:lnRef>
            <a:fillRef idx="2">
              <a:schemeClr val="accent3"/>
            </a:fillRef>
            <a:effectRef idx="1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wrap="square" tIns="182880" bIns="91440" rtlCol="0" anchor="t"/>
            <a:lstStyle/>
            <a:p>
              <a:pPr algn="ctr"/>
              <a:r>
                <a:rPr lang="en-US" sz="1400" baseline="0">
                  <a:solidFill>
                    <a:schemeClr val="bg1"/>
                  </a:solidFill>
                  <a:latin typeface="Franklin Gothic Book" panose="020B0503020102020204" pitchFamily="34" charset="0"/>
                </a:rPr>
                <a:t>Factura</a:t>
              </a:r>
            </a:p>
            <a:p>
              <a:pPr algn="ctr"/>
              <a:endParaRPr lang="en-US" sz="1400" baseline="0">
                <a:solidFill>
                  <a:schemeClr val="bg1"/>
                </a:solidFill>
                <a:latin typeface="Franklin Gothic Book" panose="020B0503020102020204" pitchFamily="34" charset="0"/>
              </a:endParaRPr>
            </a:p>
            <a:p>
              <a:pPr algn="ctr"/>
              <a:endParaRPr lang="en-US" sz="1400" baseline="0">
                <a:solidFill>
                  <a:schemeClr val="bg1"/>
                </a:solidFill>
                <a:latin typeface="Franklin Gothic Book" panose="020B0503020102020204" pitchFamily="34" charset="0"/>
              </a:endParaRPr>
            </a:p>
            <a:p>
              <a:pPr algn="ctr"/>
              <a:endParaRPr lang="en-US" sz="1400" baseline="0">
                <a:solidFill>
                  <a:schemeClr val="bg1"/>
                </a:solidFill>
                <a:latin typeface="Franklin Gothic Book" panose="020B0503020102020204" pitchFamily="34" charset="0"/>
              </a:endParaRPr>
            </a:p>
            <a:p>
              <a:pPr algn="ctr"/>
              <a:endParaRPr lang="en-US" sz="1400" baseline="0">
                <a:solidFill>
                  <a:schemeClr val="bg1"/>
                </a:solidFill>
                <a:latin typeface="Franklin Gothic Book" panose="020B0503020102020204" pitchFamily="34" charset="0"/>
              </a:endParaRPr>
            </a:p>
            <a:p>
              <a:pPr algn="ctr"/>
              <a:endParaRPr lang="en-US" sz="1400" baseline="0">
                <a:solidFill>
                  <a:schemeClr val="bg1"/>
                </a:solidFill>
                <a:latin typeface="Franklin Gothic Book" panose="020B0503020102020204" pitchFamily="34" charset="0"/>
              </a:endParaRPr>
            </a:p>
          </xdr:txBody>
        </xdr:sp>
        <xdr:cxnSp macro="">
          <xdr:nvCxnSpPr>
            <xdr:cNvPr id="13" name="Conector recto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CxnSpPr/>
          </xdr:nvCxnSpPr>
          <xdr:spPr>
            <a:xfrm>
              <a:off x="5191126" y="438150"/>
              <a:ext cx="1676400" cy="0"/>
            </a:xfrm>
            <a:prstGeom prst="line">
              <a:avLst/>
            </a:prstGeom>
            <a:grpFill/>
            <a:ln w="25400">
              <a:solidFill>
                <a:schemeClr val="tx2"/>
              </a:solidFill>
              <a:miter lim="800000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Billing Invoice">
      <a:dk1>
        <a:sysClr val="windowText" lastClr="000000"/>
      </a:dk1>
      <a:lt1>
        <a:sysClr val="window" lastClr="FFFFFF"/>
      </a:lt1>
      <a:dk2>
        <a:srgbClr val="473530"/>
      </a:dk2>
      <a:lt2>
        <a:srgbClr val="DED0AF"/>
      </a:lt2>
      <a:accent1>
        <a:srgbClr val="E37000"/>
      </a:accent1>
      <a:accent2>
        <a:srgbClr val="FFC01C"/>
      </a:accent2>
      <a:accent3>
        <a:srgbClr val="389F7C"/>
      </a:accent3>
      <a:accent4>
        <a:srgbClr val="ED8803"/>
      </a:accent4>
      <a:accent5>
        <a:srgbClr val="389FCD"/>
      </a:accent5>
      <a:accent6>
        <a:srgbClr val="8358AC"/>
      </a:accent6>
      <a:hlink>
        <a:srgbClr val="389FCD"/>
      </a:hlink>
      <a:folHlink>
        <a:srgbClr val="8358AC"/>
      </a:folHlink>
    </a:clrScheme>
    <a:fontScheme name="Billing Invoice">
      <a:majorFont>
        <a:latin typeface="Sylfaen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679A"/>
    <pageSetUpPr autoPageBreaks="0"/>
  </sheetPr>
  <dimension ref="A1:H46"/>
  <sheetViews>
    <sheetView showGridLines="0" tabSelected="1" zoomScale="130" zoomScaleNormal="130" zoomScaleSheetLayoutView="100" workbookViewId="0">
      <selection activeCell="B1" sqref="B1"/>
    </sheetView>
  </sheetViews>
  <sheetFormatPr baseColWidth="10" defaultColWidth="9.140625" defaultRowHeight="14.25" x14ac:dyDescent="0.15"/>
  <cols>
    <col min="1" max="1" width="4" style="45" customWidth="1"/>
    <col min="2" max="2" width="21.85546875" style="45" customWidth="1"/>
    <col min="3" max="3" width="48.5703125" style="45" customWidth="1"/>
    <col min="4" max="4" width="19.28515625" style="45" customWidth="1"/>
    <col min="5" max="5" width="19.7109375" style="45" customWidth="1"/>
    <col min="6" max="6" width="4" style="45" customWidth="1"/>
    <col min="7" max="16384" width="9.140625" style="45"/>
  </cols>
  <sheetData>
    <row r="1" spans="1:6" s="10" customFormat="1" ht="27" customHeight="1" x14ac:dyDescent="0.15">
      <c r="A1" s="9"/>
    </row>
    <row r="2" spans="1:6" s="10" customFormat="1" ht="43.5" customHeight="1" thickBot="1" x14ac:dyDescent="0.2">
      <c r="B2" s="11" t="s">
        <v>0</v>
      </c>
      <c r="C2" s="12">
        <v>15</v>
      </c>
    </row>
    <row r="3" spans="1:6" s="10" customFormat="1" ht="24" customHeight="1" thickTop="1" x14ac:dyDescent="0.15">
      <c r="B3" s="49">
        <f ca="1">TODAY()</f>
        <v>46001</v>
      </c>
      <c r="C3" s="49"/>
      <c r="D3" s="47">
        <f>Totalfactura</f>
        <v>0</v>
      </c>
      <c r="E3" s="47"/>
      <c r="F3" s="10" t="s">
        <v>1</v>
      </c>
    </row>
    <row r="4" spans="1:6" s="10" customFormat="1" ht="24" customHeight="1" x14ac:dyDescent="0.15">
      <c r="B4" s="13" t="str">
        <f ca="1">"VENCIMIENTO DEL PAGO: "&amp;TEXT(B3+30,"dd Mmmm aaaa")</f>
        <v>VENCIMIENTO DEL PAGO: 09 enero viernes</v>
      </c>
      <c r="C4" s="14"/>
      <c r="D4" s="48"/>
      <c r="E4" s="48"/>
      <c r="F4" s="10" t="s">
        <v>1</v>
      </c>
    </row>
    <row r="5" spans="1:6" s="10" customFormat="1" x14ac:dyDescent="0.15"/>
    <row r="6" spans="1:6" s="10" customFormat="1" x14ac:dyDescent="0.15">
      <c r="B6" s="57" t="s">
        <v>2</v>
      </c>
      <c r="C6" s="57"/>
      <c r="D6" s="55" t="str">
        <f>'Configuración de empresa'!C4</f>
        <v>ADVENTURE WORKS</v>
      </c>
      <c r="E6" s="55"/>
    </row>
    <row r="7" spans="1:6" s="10" customFormat="1" x14ac:dyDescent="0.15">
      <c r="B7" s="58" t="s">
        <v>3</v>
      </c>
      <c r="C7" s="58"/>
      <c r="D7" s="56" t="str">
        <f>'Configuración de empresa'!C5</f>
        <v>23456 Maple Street</v>
      </c>
      <c r="E7" s="56"/>
    </row>
    <row r="8" spans="1:6" s="10" customFormat="1" x14ac:dyDescent="0.15">
      <c r="B8" s="59"/>
      <c r="C8" s="59"/>
      <c r="D8" s="56" t="str">
        <f>'Configuración de empresa'!C6</f>
        <v>Orange Grove, CA 09876</v>
      </c>
      <c r="E8" s="56"/>
    </row>
    <row r="9" spans="1:6" s="10" customFormat="1" x14ac:dyDescent="0.15">
      <c r="B9" s="59"/>
      <c r="C9" s="59"/>
      <c r="E9" s="17">
        <v>0</v>
      </c>
    </row>
    <row r="10" spans="1:6" s="10" customFormat="1" ht="12.75" customHeight="1" x14ac:dyDescent="0.15">
      <c r="B10" s="15"/>
      <c r="C10" s="15"/>
      <c r="E10" s="17">
        <f>Configuracióndeempresa_DirecciónLínea4</f>
        <v>0</v>
      </c>
    </row>
    <row r="11" spans="1:6" s="10" customFormat="1" ht="6.75" customHeight="1" x14ac:dyDescent="0.15">
      <c r="B11" s="15"/>
      <c r="C11" s="15"/>
      <c r="E11" s="16"/>
    </row>
    <row r="12" spans="1:6" s="10" customFormat="1" ht="6" customHeight="1" thickBot="1" x14ac:dyDescent="0.3">
      <c r="B12" s="18"/>
      <c r="C12" s="19"/>
      <c r="D12" s="20"/>
      <c r="E12" s="21"/>
    </row>
    <row r="13" spans="1:6" s="10" customFormat="1" ht="15" thickTop="1" x14ac:dyDescent="0.15">
      <c r="B13" s="22"/>
    </row>
    <row r="14" spans="1:6" s="10" customFormat="1" ht="16.5" x14ac:dyDescent="0.15">
      <c r="B14" s="23" t="s">
        <v>4</v>
      </c>
      <c r="C14" s="23" t="s">
        <v>5</v>
      </c>
      <c r="D14" s="24" t="s">
        <v>6</v>
      </c>
      <c r="E14" s="24" t="s">
        <v>7</v>
      </c>
    </row>
    <row r="15" spans="1:6" s="10" customFormat="1" ht="18.75" customHeight="1" x14ac:dyDescent="0.15">
      <c r="B15" s="25">
        <v>1</v>
      </c>
      <c r="C15" s="26"/>
      <c r="D15" s="27"/>
      <c r="E15" s="27">
        <f>IFERROR(Factura!$D15*Factura!$B15,"")</f>
        <v>0</v>
      </c>
    </row>
    <row r="16" spans="1:6" s="10" customFormat="1" ht="18.75" customHeight="1" x14ac:dyDescent="0.15">
      <c r="B16" s="46"/>
      <c r="C16" s="28"/>
      <c r="D16" s="29"/>
      <c r="E16" s="29">
        <f>IFERROR(Factura!$D16*Factura!$B16,"")</f>
        <v>0</v>
      </c>
    </row>
    <row r="17" spans="2:8" s="10" customFormat="1" ht="18.75" customHeight="1" x14ac:dyDescent="0.15">
      <c r="B17" s="25"/>
      <c r="C17" s="26"/>
      <c r="D17" s="27"/>
      <c r="E17" s="27">
        <f>IFERROR(Factura!$D17*Factura!$B17,"")</f>
        <v>0</v>
      </c>
    </row>
    <row r="18" spans="2:8" s="10" customFormat="1" ht="18.75" customHeight="1" x14ac:dyDescent="0.15">
      <c r="B18" s="46"/>
      <c r="C18" s="28"/>
      <c r="D18" s="29"/>
      <c r="E18" s="29">
        <f>IFERROR(Factura!$D18*Factura!$B18,"")</f>
        <v>0</v>
      </c>
    </row>
    <row r="19" spans="2:8" s="10" customFormat="1" ht="18.75" customHeight="1" x14ac:dyDescent="0.15">
      <c r="B19" s="25"/>
      <c r="C19" s="26"/>
      <c r="D19" s="27"/>
      <c r="E19" s="27">
        <f>IFERROR(Factura!$D19*Factura!$B19,"")</f>
        <v>0</v>
      </c>
    </row>
    <row r="20" spans="2:8" s="10" customFormat="1" ht="18.75" customHeight="1" x14ac:dyDescent="0.15">
      <c r="B20" s="46"/>
      <c r="C20" s="28"/>
      <c r="D20" s="29"/>
      <c r="E20" s="29">
        <f>IFERROR(Factura!$D20*Factura!$B20,"")</f>
        <v>0</v>
      </c>
    </row>
    <row r="21" spans="2:8" s="10" customFormat="1" ht="18.75" customHeight="1" x14ac:dyDescent="0.15">
      <c r="B21" s="25"/>
      <c r="C21" s="26"/>
      <c r="D21" s="27"/>
      <c r="E21" s="27">
        <f>IFERROR(Factura!$D21*Factura!$B21,"")</f>
        <v>0</v>
      </c>
    </row>
    <row r="22" spans="2:8" s="10" customFormat="1" ht="18.75" customHeight="1" x14ac:dyDescent="0.15">
      <c r="B22" s="46"/>
      <c r="C22" s="28"/>
      <c r="D22" s="29"/>
      <c r="E22" s="29">
        <f>IFERROR(Factura!$D22*Factura!$B22,"")</f>
        <v>0</v>
      </c>
    </row>
    <row r="23" spans="2:8" s="10" customFormat="1" ht="18.75" customHeight="1" x14ac:dyDescent="0.15">
      <c r="B23" s="25"/>
      <c r="C23" s="26"/>
      <c r="D23" s="27"/>
      <c r="E23" s="27">
        <f>IFERROR(Factura!$D23*Factura!$B23,"")</f>
        <v>0</v>
      </c>
    </row>
    <row r="24" spans="2:8" s="10" customFormat="1" ht="18.75" customHeight="1" x14ac:dyDescent="0.15">
      <c r="B24" s="46"/>
      <c r="C24" s="28"/>
      <c r="D24" s="29"/>
      <c r="E24" s="29">
        <f>IFERROR(Factura!$D24*Factura!$B24,"")</f>
        <v>0</v>
      </c>
    </row>
    <row r="25" spans="2:8" s="10" customFormat="1" ht="18.75" customHeight="1" x14ac:dyDescent="0.15">
      <c r="B25" s="25"/>
      <c r="C25" s="26"/>
      <c r="D25" s="27"/>
      <c r="E25" s="27">
        <f>IFERROR(Factura!$D25*Factura!$B25,"")</f>
        <v>0</v>
      </c>
    </row>
    <row r="26" spans="2:8" s="10" customFormat="1" ht="18.75" customHeight="1" x14ac:dyDescent="0.15">
      <c r="B26" s="46"/>
      <c r="C26" s="28"/>
      <c r="D26" s="29"/>
      <c r="E26" s="29">
        <f>IFERROR(Factura!$D26*Factura!$B26,"")</f>
        <v>0</v>
      </c>
    </row>
    <row r="27" spans="2:8" s="10" customFormat="1" ht="18.75" customHeight="1" x14ac:dyDescent="0.15">
      <c r="B27" s="25"/>
      <c r="C27" s="26"/>
      <c r="D27" s="27"/>
      <c r="E27" s="27">
        <f>IFERROR(Factura!$D27*Factura!$B27,"")</f>
        <v>0</v>
      </c>
    </row>
    <row r="28" spans="2:8" s="10" customFormat="1" ht="18.75" customHeight="1" x14ac:dyDescent="0.15">
      <c r="B28" s="46"/>
      <c r="C28" s="28"/>
      <c r="D28" s="29"/>
      <c r="E28" s="29">
        <f>IFERROR(Factura!$D28*Factura!$B28,"")</f>
        <v>0</v>
      </c>
      <c r="F28" s="30"/>
      <c r="G28" s="30"/>
      <c r="H28" s="30"/>
    </row>
    <row r="29" spans="2:8" s="30" customFormat="1" ht="18.75" customHeight="1" x14ac:dyDescent="0.15">
      <c r="B29" s="25"/>
      <c r="C29" s="26"/>
      <c r="D29" s="27"/>
      <c r="E29" s="27">
        <f>IFERROR(Factura!$D29*Factura!$B29,"")</f>
        <v>0</v>
      </c>
      <c r="F29" s="10"/>
      <c r="G29" s="10"/>
      <c r="H29" s="10"/>
    </row>
    <row r="30" spans="2:8" s="10" customFormat="1" ht="18.75" customHeight="1" x14ac:dyDescent="0.15">
      <c r="B30" s="31"/>
      <c r="C30" s="32"/>
      <c r="D30" s="33" t="s">
        <v>8</v>
      </c>
      <c r="E30" s="33"/>
    </row>
    <row r="31" spans="2:8" s="10" customFormat="1" ht="18" customHeight="1" x14ac:dyDescent="0.15">
      <c r="B31" s="34"/>
      <c r="C31" s="35"/>
      <c r="D31" s="36" t="s">
        <v>9</v>
      </c>
      <c r="E31" s="37">
        <f>SUM(Factura!$E$15:$E$29)-E30</f>
        <v>0</v>
      </c>
    </row>
    <row r="32" spans="2:8" s="10" customFormat="1" ht="18" customHeight="1" x14ac:dyDescent="0.15">
      <c r="B32" s="38"/>
      <c r="C32" s="35"/>
      <c r="D32" s="36" t="s">
        <v>10</v>
      </c>
      <c r="E32" s="36"/>
    </row>
    <row r="33" spans="2:8" s="10" customFormat="1" ht="18" customHeight="1" x14ac:dyDescent="0.15">
      <c r="B33" s="39"/>
      <c r="C33" s="39"/>
      <c r="D33" s="51" t="str">
        <f>REPT(Configuracióndeempresa_Abreviaturademoneda,LEN(Configuracióndeempresa_Abreviaturademoneda)&gt;0) &amp; " TOTAL"</f>
        <v>USD TOTAL</v>
      </c>
      <c r="E33" s="53">
        <f>E31+E32</f>
        <v>0</v>
      </c>
    </row>
    <row r="34" spans="2:8" s="10" customFormat="1" ht="18" customHeight="1" thickBot="1" x14ac:dyDescent="0.2">
      <c r="B34" s="19"/>
      <c r="C34" s="19"/>
      <c r="D34" s="52"/>
      <c r="E34" s="54"/>
    </row>
    <row r="35" spans="2:8" s="10" customFormat="1" ht="15" thickTop="1" x14ac:dyDescent="0.15"/>
    <row r="36" spans="2:8" s="10" customFormat="1" ht="15" x14ac:dyDescent="0.3">
      <c r="B36" s="40" t="s">
        <v>11</v>
      </c>
      <c r="C36" s="41"/>
      <c r="D36" s="41"/>
      <c r="E36" s="42" t="s">
        <v>12</v>
      </c>
    </row>
    <row r="37" spans="2:8" s="10" customFormat="1" x14ac:dyDescent="0.15">
      <c r="B37" s="15" t="str">
        <f>"Nombre del beneficiario " &amp; Configuracióndeempresa_NombredelBancoBeneficiario</f>
        <v>Nombre del beneficiario Adventure Works</v>
      </c>
      <c r="C37" s="15"/>
      <c r="D37" s="15"/>
      <c r="E37" s="16" t="str">
        <f>IFERROR(Configuracióndeempresa_Sunombre,"")</f>
        <v>Enrique Gil</v>
      </c>
    </row>
    <row r="38" spans="2:8" s="10" customFormat="1" x14ac:dyDescent="0.15">
      <c r="B38" s="15" t="str">
        <f>"Nombre del banco: " &amp; Configuracióndeempresa_Nombredelbanco</f>
        <v>Nombre del banco: Woodgrove Bank</v>
      </c>
      <c r="C38" s="15"/>
      <c r="D38" s="15"/>
      <c r="E38" s="16" t="str">
        <f>IFERROR("Teléfono: " &amp; Configuracióndeempresa_Teléfono,"")</f>
        <v/>
      </c>
    </row>
    <row r="39" spans="2:8" s="10" customFormat="1" x14ac:dyDescent="0.15">
      <c r="B39" s="15" t="str">
        <f>"Dirección del banco: " &amp; Configuracióndeempresa_Direcciónbancaria</f>
        <v>Dirección del banco: 234 Main St. Orange Grove, CA 09876</v>
      </c>
      <c r="C39" s="15"/>
      <c r="D39" s="15"/>
      <c r="E39" s="16" t="str">
        <f>IFERROR("Facsimile: " &amp; Configuracióndeempresa_Sufax,"")</f>
        <v/>
      </c>
    </row>
    <row r="40" spans="2:8" s="10" customFormat="1" x14ac:dyDescent="0.15">
      <c r="B40" s="15" t="str">
        <f>"Número de cuenta " &amp; Configuracióndeempresa_Cuentabancaria</f>
        <v>Número de cuenta 1234567</v>
      </c>
      <c r="C40" s="15"/>
      <c r="D40" s="15"/>
      <c r="E40" s="16" t="str">
        <f>IFERROR(Configuracióndeempresa_DirecciónURL,"")</f>
        <v>Adventure-Works.com</v>
      </c>
    </row>
    <row r="41" spans="2:8" s="10" customFormat="1" ht="15" customHeight="1" x14ac:dyDescent="0.15">
      <c r="B41" s="15" t="str">
        <f>"Número de identificación del banco (código SWIFT) " &amp; 'Configuración de empresa'!C19</f>
        <v>Número de identificación del banco (código SWIFT) 9876543210</v>
      </c>
      <c r="C41" s="15"/>
      <c r="D41" s="15"/>
      <c r="E41" s="16" t="str">
        <f>IFERROR(Configuracióndeempresa_Correoelectrónico,"")</f>
        <v>Accounting@Adventure-Works.com</v>
      </c>
    </row>
    <row r="42" spans="2:8" s="10" customFormat="1" x14ac:dyDescent="0.15">
      <c r="B42" s="15" t="str">
        <f>"Referencia de pago " &amp; Visualizacióndelnúmerodefactura</f>
        <v>Referencia de pago 15</v>
      </c>
      <c r="C42" s="15"/>
      <c r="D42" s="15"/>
      <c r="E42" s="16" t="str">
        <f>IFERROR(IF(LEN(Client_PO),"Contract/PO: " &amp; Client_PO,""),"")</f>
        <v/>
      </c>
    </row>
    <row r="43" spans="2:8" s="10" customFormat="1" x14ac:dyDescent="0.15">
      <c r="B43" s="43"/>
      <c r="C43" s="43"/>
      <c r="D43" s="43"/>
      <c r="E43" s="43"/>
      <c r="H43" s="44"/>
    </row>
    <row r="44" spans="2:8" s="10" customFormat="1" ht="27" customHeight="1" x14ac:dyDescent="0.15">
      <c r="B44" s="50" t="str">
        <f>UPPER("El pago debe realizarse por transferencia bancaria o mediante un cheque a nombre de " &amp; Configuracióndeempresa_Beneficiariodelcheque &amp; ".")</f>
        <v>EL PAGO DEBE REALIZARSE POR TRANSFERENCIA BANCARIA O MEDIANTE UN CHEQUE A NOMBRE DE ADVENTURE WORKS.</v>
      </c>
      <c r="C44" s="50"/>
      <c r="D44" s="50"/>
      <c r="E44" s="50"/>
      <c r="H44" s="44"/>
    </row>
    <row r="45" spans="2:8" s="10" customFormat="1" x14ac:dyDescent="0.15"/>
    <row r="46" spans="2:8" s="10" customFormat="1" x14ac:dyDescent="0.15"/>
  </sheetData>
  <mergeCells count="12">
    <mergeCell ref="D3:E4"/>
    <mergeCell ref="B3:C3"/>
    <mergeCell ref="B44:E44"/>
    <mergeCell ref="D33:D34"/>
    <mergeCell ref="E33:E34"/>
    <mergeCell ref="D6:E6"/>
    <mergeCell ref="D7:E7"/>
    <mergeCell ref="D8:E8"/>
    <mergeCell ref="B6:C6"/>
    <mergeCell ref="B7:C7"/>
    <mergeCell ref="B8:C8"/>
    <mergeCell ref="B9:C9"/>
  </mergeCells>
  <dataValidations count="2">
    <dataValidation type="textLength" allowBlank="1" showInputMessage="1" showErrorMessage="1" errorTitle="Cuidado" error="Debes introducir 10 digitos." sqref="B8:C8" xr:uid="{82704546-1AA6-4907-8BE1-1AA4DB00BCDC}">
      <formula1>10</formula1>
      <formula2>10</formula2>
    </dataValidation>
    <dataValidation type="textLength" allowBlank="1" showInputMessage="1" showErrorMessage="1" errorTitle="¡Espera!" error="Debes introducir un consecutivo con 10 digitos. " sqref="B9:C9" xr:uid="{2B4C46A9-953B-48AC-8B5F-7EB618A4BE62}">
      <formula1>13</formula1>
      <formula2>13</formula2>
    </dataValidation>
  </dataValidations>
  <printOptions horizontalCentered="1"/>
  <pageMargins left="0.25" right="0.25" top="0.5" bottom="0.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00679A"/>
    <pageSetUpPr autoPageBreaks="0" fitToPage="1"/>
  </sheetPr>
  <dimension ref="B1:D22"/>
  <sheetViews>
    <sheetView showGridLines="0" zoomScaleNormal="100" workbookViewId="0">
      <selection activeCell="B21" sqref="B21:C21"/>
    </sheetView>
  </sheetViews>
  <sheetFormatPr baseColWidth="10" defaultColWidth="9.140625" defaultRowHeight="18.75" customHeight="1" x14ac:dyDescent="0.15"/>
  <cols>
    <col min="1" max="1" width="4" customWidth="1"/>
    <col min="2" max="2" width="63.85546875" bestFit="1" customWidth="1"/>
    <col min="3" max="3" width="36.85546875" customWidth="1"/>
    <col min="4" max="4" width="9.42578125" bestFit="1" customWidth="1"/>
  </cols>
  <sheetData>
    <row r="1" spans="2:4" ht="34.5" customHeight="1" thickBot="1" x14ac:dyDescent="0.5">
      <c r="B1" s="4" t="s">
        <v>13</v>
      </c>
      <c r="C1" s="1"/>
    </row>
    <row r="2" spans="2:4" ht="22.5" customHeight="1" thickTop="1" x14ac:dyDescent="0.15">
      <c r="B2" s="5" t="s">
        <v>14</v>
      </c>
      <c r="C2" s="5" t="s">
        <v>15</v>
      </c>
    </row>
    <row r="3" spans="2:4" ht="18.75" customHeight="1" x14ac:dyDescent="0.15">
      <c r="B3" s="7" t="s">
        <v>16</v>
      </c>
      <c r="C3" s="7" t="s">
        <v>17</v>
      </c>
    </row>
    <row r="4" spans="2:4" ht="18.75" customHeight="1" x14ac:dyDescent="0.15">
      <c r="B4" s="3" t="s">
        <v>18</v>
      </c>
      <c r="C4" s="3" t="s">
        <v>19</v>
      </c>
    </row>
    <row r="5" spans="2:4" ht="18.75" customHeight="1" x14ac:dyDescent="0.15">
      <c r="B5" s="6" t="s">
        <v>20</v>
      </c>
      <c r="C5" s="6" t="s">
        <v>21</v>
      </c>
    </row>
    <row r="6" spans="2:4" ht="18.75" customHeight="1" x14ac:dyDescent="0.15">
      <c r="B6" s="3" t="s">
        <v>22</v>
      </c>
      <c r="C6" s="3" t="s">
        <v>23</v>
      </c>
    </row>
    <row r="7" spans="2:4" ht="18.75" customHeight="1" x14ac:dyDescent="0.15">
      <c r="B7" s="6" t="s">
        <v>24</v>
      </c>
      <c r="C7" s="6"/>
    </row>
    <row r="8" spans="2:4" ht="18.75" customHeight="1" x14ac:dyDescent="0.15">
      <c r="B8" s="3" t="s">
        <v>25</v>
      </c>
      <c r="C8" s="3"/>
    </row>
    <row r="9" spans="2:4" ht="18.75" customHeight="1" x14ac:dyDescent="0.15">
      <c r="B9" s="6" t="s">
        <v>26</v>
      </c>
      <c r="C9" s="6"/>
    </row>
    <row r="10" spans="2:4" ht="18.75" customHeight="1" x14ac:dyDescent="0.15">
      <c r="B10" s="3" t="s">
        <v>27</v>
      </c>
      <c r="C10" s="3"/>
    </row>
    <row r="11" spans="2:4" ht="18.75" customHeight="1" x14ac:dyDescent="0.15">
      <c r="B11" s="6" t="s">
        <v>28</v>
      </c>
      <c r="C11" s="6"/>
      <c r="D11" s="8"/>
    </row>
    <row r="12" spans="2:4" ht="18.75" customHeight="1" x14ac:dyDescent="0.15">
      <c r="B12" s="3" t="s">
        <v>29</v>
      </c>
      <c r="C12" s="3" t="s">
        <v>30</v>
      </c>
    </row>
    <row r="13" spans="2:4" ht="18.75" customHeight="1" x14ac:dyDescent="0.15">
      <c r="B13" s="6" t="s">
        <v>31</v>
      </c>
      <c r="C13" s="6" t="s">
        <v>32</v>
      </c>
    </row>
    <row r="14" spans="2:4" ht="18.75" customHeight="1" x14ac:dyDescent="0.15">
      <c r="B14" s="3" t="s">
        <v>33</v>
      </c>
      <c r="C14" s="3" t="s">
        <v>34</v>
      </c>
    </row>
    <row r="15" spans="2:4" ht="18.75" customHeight="1" x14ac:dyDescent="0.15">
      <c r="B15" s="6" t="s">
        <v>35</v>
      </c>
      <c r="C15" s="6" t="s">
        <v>36</v>
      </c>
    </row>
    <row r="16" spans="2:4" ht="18.75" customHeight="1" x14ac:dyDescent="0.15">
      <c r="B16" s="3" t="s">
        <v>37</v>
      </c>
      <c r="C16" s="3" t="s">
        <v>38</v>
      </c>
    </row>
    <row r="17" spans="2:3" ht="18.75" customHeight="1" x14ac:dyDescent="0.15">
      <c r="B17" s="6" t="s">
        <v>39</v>
      </c>
      <c r="C17" s="6" t="s">
        <v>40</v>
      </c>
    </row>
    <row r="18" spans="2:3" ht="18.75" customHeight="1" x14ac:dyDescent="0.15">
      <c r="B18" s="3" t="s">
        <v>41</v>
      </c>
      <c r="C18" s="3">
        <v>1234567</v>
      </c>
    </row>
    <row r="19" spans="2:3" ht="18.75" customHeight="1" x14ac:dyDescent="0.15">
      <c r="B19" s="6" t="s">
        <v>42</v>
      </c>
      <c r="C19" s="6">
        <v>9876543210</v>
      </c>
    </row>
    <row r="20" spans="2:3" ht="18.75" customHeight="1" x14ac:dyDescent="0.15">
      <c r="B20" s="2" t="s">
        <v>43</v>
      </c>
      <c r="C20" s="3" t="s">
        <v>36</v>
      </c>
    </row>
    <row r="21" spans="2:3" ht="9.75" customHeight="1" thickBot="1" x14ac:dyDescent="0.2">
      <c r="B21" s="60"/>
      <c r="C21" s="60"/>
    </row>
    <row r="22" spans="2:3" ht="18.75" customHeight="1" thickTop="1" x14ac:dyDescent="0.15"/>
  </sheetData>
  <sheetProtection selectLockedCells="1"/>
  <mergeCells count="1">
    <mergeCell ref="B21:C21"/>
  </mergeCells>
  <printOptions horizontalCentered="1"/>
  <pageMargins left="0.7" right="0.7" top="0.75" bottom="0.75" header="0.3" footer="0.3"/>
  <pageSetup fitToHeight="0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88D9997-754F-4B4E-A300-C8A4812255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Factura</vt:lpstr>
      <vt:lpstr>Configuración de empresa</vt:lpstr>
      <vt:lpstr>Totalfactura</vt:lpstr>
      <vt:lpstr>Visualizacióndelnúmerodefactura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Elkin Rodriguez Escamilla</cp:lastModifiedBy>
  <cp:revision/>
  <dcterms:created xsi:type="dcterms:W3CDTF">2016-07-10T14:38:21Z</dcterms:created>
  <dcterms:modified xsi:type="dcterms:W3CDTF">2025-12-10T21:05:11Z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TC031076339991</vt:lpwstr>
  </property>
</Properties>
</file>