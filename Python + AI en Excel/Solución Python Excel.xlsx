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22b0b09328d329/Data World/Programas/Excel Básico a Avanzado/Carpeta para compartir/Python ^M AI en Excel/"/>
    </mc:Choice>
  </mc:AlternateContent>
  <xr:revisionPtr revIDLastSave="49" documentId="8_{287EAD39-1DB1-4E45-8B07-2919F4ECAE04}" xr6:coauthVersionLast="47" xr6:coauthVersionMax="47" xr10:uidLastSave="{4AC1E842-783E-4985-AA6E-DFC23D53C683}"/>
  <bookViews>
    <workbookView xWindow="-120" yWindow="-120" windowWidth="29040" windowHeight="16440" activeTab="1" xr2:uid="{30432977-625F-4C40-A8D8-62E26A0D47E6}"/>
  </bookViews>
  <sheets>
    <sheet name="supermarket_sales" sheetId="2" r:id="rId1"/>
    <sheet name="Hoja1" sheetId="1" r:id="rId2"/>
  </sheets>
  <definedNames>
    <definedName name="DatosExternos_1" localSheetId="0" hidden="1">supermarket_sales!$A$1:$Q$1001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l="1"/>
  <c r="C4" i="1" a="1"/>
  <c r="C4" i="1" l="1"/>
  <c r="C6" i="1" a="1"/>
  <c r="C6" i="1" l="1"/>
  <c r="C8" i="1" a="1"/>
  <c r="C8" i="1" l="1"/>
  <c r="C10" i="1" a="1"/>
  <c r="C10" i="1" l="1"/>
  <c r="C16" i="1" a="1"/>
  <c r="C16" i="1" l="1"/>
  <c r="D10" i="1" a="1"/>
  <c r="D10" i="1" s="1"/>
  <c r="C32" i="1" a="1"/>
  <c r="C32" i="1" l="1"/>
  <c r="D16" i="1" a="1"/>
  <c r="D1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B961B4-E3D6-4BA2-8014-72868019EDB2}" keepAlive="1" name="Consulta - supermarket_sales" description="Conexión a la consulta 'supermarket_sales' en el libro." type="5" refreshedVersion="8" background="1" saveData="1">
    <dbPr connection="Provider=Microsoft.Mashup.OleDb.1;Data Source=$Workbook$;Location=supermarket_sales;Extended Properties=&quot;&quot;" command="SELECT * FROM [supermarket_sa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21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data = xl(%P2%, headers=True)</code>
    </pythonScript>
    <pythonScript>
      <code>data.head()</code>
    </pythonScript>
    <pythonScript>
      <code>data.describe()</code>
    </pythonScript>
    <pythonScript>
      <code>data.groupby("City")['Invoice ID'].count()</code>
    </pythonScript>
    <pythonScript>
      <code>data.groupby("City").agg(
    promedio=('Total', 'mean'),
    sum_quantity=('Quantity', 'sum'),
    count_invoices=('Invoice ID', 'count'),
    min_rating=('Rating', 'min'),
    max_rating=('Rating', 'max')
)</code>
    </pythonScript>
    <pythonScript>
      <code>data.groupby(['City', 'Customer type']).agg(
    mean_total=('Total', 'mean'),
    sum_quantity=('Quantity', 'sum'),
    count_invoices=('Invoice ID', 'count'),
    avg_rating=('Rating', 'mean')
)</code>
    </pythonScript>
    <pythonScript>
      <code>import matplotlib.pyplot as plt
import seaborn as sns
sales_by_city = data.groupby('City')['Total'].sum().sort_values(ascending=False)
plt.figure(figsize=(10, 6))
sns.barplot(x=sales_by_city.index, y=sales_by_city.values, hue=sales_by_city.index, palette='viridis', legend=False)
plt.title('Total de Ventas por Ciudad')
plt.xlabel('Ciudad')
plt.ylabel('Total de Ventas')
plt.xticks(rotation=45)
plt.grid(axis='y', alpha=0.75)
plt.tight_layout()
plt.show()</code>
    </pythonScript>
  </pythonScripts>
</python>
</file>

<file path=xl/sharedStrings.xml><?xml version="1.0" encoding="utf-8"?>
<sst xmlns="http://schemas.openxmlformats.org/spreadsheetml/2006/main" count="8025" uniqueCount="1133">
  <si>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</si>
  <si>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</si>
  <si>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</si>
  <si>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</si>
  <si>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</si>
  <si>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</si>
  <si>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</si>
  <si>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</si>
  <si>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</si>
  <si>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</si>
  <si>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</si>
  <si>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</si>
  <si>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</si>
  <si>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</si>
  <si>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</si>
  <si>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</si>
  <si>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</si>
  <si>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</si>
  <si>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</si>
  <si>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</si>
  <si>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</si>
  <si>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</si>
  <si>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</si>
  <si>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1/5/2019</t>
  </si>
  <si>
    <t>Ewallet</t>
  </si>
  <si>
    <t>226-31-3081</t>
  </si>
  <si>
    <t>C</t>
  </si>
  <si>
    <t>Naypyitaw</t>
  </si>
  <si>
    <t>Normal</t>
  </si>
  <si>
    <t>Electronic accessories</t>
  </si>
  <si>
    <t>3/8/2019</t>
  </si>
  <si>
    <t>Cash</t>
  </si>
  <si>
    <t>631-41-3108</t>
  </si>
  <si>
    <t>Male</t>
  </si>
  <si>
    <t>Home and lifestyle</t>
  </si>
  <si>
    <t>3/3/2019</t>
  </si>
  <si>
    <t>Credit card</t>
  </si>
  <si>
    <t>123-19-1176</t>
  </si>
  <si>
    <t>1/27/2019</t>
  </si>
  <si>
    <t>373-73-7910</t>
  </si>
  <si>
    <t>Sports and travel</t>
  </si>
  <si>
    <t>2/8/2019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</si>
  <si>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</si>
  <si>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</si>
  <si>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</si>
  <si>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</si>
  <si>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</si>
  <si>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</si>
  <si>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</si>
  <si>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1/10/2019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</si>
  <si>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</si>
  <si>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</si>
  <si>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</si>
  <si>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</si>
  <si>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</si>
  <si>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</si>
  <si>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</si>
  <si>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2/6/2019</t>
  </si>
  <si>
    <t>529-56-3974</t>
  </si>
  <si>
    <t>3/9/2019</t>
  </si>
  <si>
    <t>365-64-0515</t>
  </si>
  <si>
    <t>2/12/2019</t>
  </si>
  <si>
    <t>252-56-2699</t>
  </si>
  <si>
    <t>2/7/2019</t>
  </si>
  <si>
    <t>829-34-3910</t>
  </si>
  <si>
    <t>3/29/2019</t>
  </si>
  <si>
    <t>299-46-1805</t>
  </si>
  <si>
    <t>1/15/2019</t>
  </si>
  <si>
    <t>656-95-9349</t>
  </si>
  <si>
    <t>3/11/2019</t>
  </si>
  <si>
    <t>765-26-6951</t>
  </si>
  <si>
    <t>1/1/2019</t>
  </si>
  <si>
    <t>329-62-1586</t>
  </si>
  <si>
    <t>1/21/2019</t>
  </si>
  <si>
    <t>319-50-3348</t>
  </si>
  <si>
    <t>300-71-4605</t>
  </si>
  <si>
    <t>371-85-5789</t>
  </si>
  <si>
    <t>3/5/2019</t>
  </si>
  <si>
    <t>273-16-6619</t>
  </si>
  <si>
    <t>3/15/2019</t>
  </si>
  <si>
    <t>636-48-8204</t>
  </si>
  <si>
    <t>2/17/2019</t>
  </si>
  <si>
    <t>549-59-1358</t>
  </si>
  <si>
    <t>3/2/2019</t>
  </si>
  <si>
    <t>227-03-5010</t>
  </si>
  <si>
    <t>3/22/2019</t>
  </si>
  <si>
    <t>649-29-6775</t>
  </si>
  <si>
    <t>189-17-4241</t>
  </si>
  <si>
    <t>3/10/2019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</si>
  <si>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</si>
  <si>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</si>
  <si>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</si>
  <si>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</si>
  <si>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</si>
  <si>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</si>
  <si>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</si>
  <si>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</si>
  <si>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</si>
  <si>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</si>
  <si>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1/7/2019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</si>
  <si>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</si>
  <si>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</si>
  <si>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</si>
  <si>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</si>
  <si>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</si>
  <si>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</si>
  <si>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</si>
  <si>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</si>
  <si>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2/2/2019</t>
  </si>
  <si>
    <t>354-25-5821</t>
  </si>
  <si>
    <t>228-96-1411</t>
  </si>
  <si>
    <t>3/4/2019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</si>
  <si>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</si>
  <si>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</si>
  <si>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</si>
  <si>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</si>
  <si>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</si>
  <si>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</si>
  <si>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</si>
  <si>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2/10/2019</t>
  </si>
  <si>
    <t>574-22-5561</t>
  </si>
  <si>
    <t>3/19/2019</t>
  </si>
  <si>
    <t>326-78-5178</t>
  </si>
  <si>
    <t>2/3/2019</t>
  </si>
  <si>
    <t>162-48-8011</t>
  </si>
  <si>
    <t>616-24-2851</t>
  </si>
  <si>
    <t>778-71-5554</t>
  </si>
  <si>
    <t>242-55-6721</t>
  </si>
  <si>
    <t>3/7/2019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</si>
  <si>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</si>
  <si>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</si>
  <si>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</si>
  <si>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</si>
  <si>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</si>
  <si>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</si>
  <si>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</si>
  <si>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</si>
  <si>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3/12/2019</t>
  </si>
  <si>
    <t>285-68-5083</t>
  </si>
  <si>
    <t>2/15/2019</t>
  </si>
  <si>
    <t>803-83-5989</t>
  </si>
  <si>
    <t>347-34-2234</t>
  </si>
  <si>
    <t>199-75-8169</t>
  </si>
  <si>
    <t>3/6/2019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</si>
  <si>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</si>
  <si>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</si>
  <si>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</si>
  <si>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</si>
  <si>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</si>
  <si>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</si>
  <si>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</si>
  <si>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</si>
  <si>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</si>
  <si>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</si>
  <si>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1/6/2019</t>
  </si>
  <si>
    <t>796-12-2025</t>
  </si>
  <si>
    <t>2/11/2019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</si>
  <si>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</si>
  <si>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</si>
  <si>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</si>
  <si>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</si>
  <si>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</si>
  <si>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</si>
  <si>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</si>
  <si>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1/9/2019</t>
  </si>
  <si>
    <t>381-20-0914</t>
  </si>
  <si>
    <t>1/12/2019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</si>
  <si>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</si>
  <si>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</si>
  <si>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</si>
  <si>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</si>
  <si>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</si>
  <si>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</si>
  <si>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</si>
  <si>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</si>
  <si>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</si>
  <si>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</si>
  <si>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</si>
  <si>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</si>
  <si>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</si>
  <si>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</si>
  <si>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1/2/2019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</si>
  <si>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</si>
  <si>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</si>
  <si>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</si>
  <si>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</si>
  <si>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</si>
  <si>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</si>
  <si>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</si>
  <si>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</si>
  <si>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</si>
  <si>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2/9/2019</t>
  </si>
  <si>
    <t>865-92-6136</t>
  </si>
  <si>
    <t>733-01-9107</t>
  </si>
  <si>
    <t>163-56-7055</t>
  </si>
  <si>
    <t>3/26/2019</t>
  </si>
  <si>
    <t>189-98-2939</t>
  </si>
  <si>
    <t>3/1/2019</t>
  </si>
  <si>
    <t>551-21-3069</t>
  </si>
  <si>
    <t>2/1/2019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</si>
  <si>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</si>
  <si>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</si>
  <si>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</si>
  <si>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</si>
  <si>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</si>
  <si>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</si>
  <si>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</si>
  <si>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</si>
  <si>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</si>
  <si>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</si>
  <si>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2/5/2019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</si>
  <si>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</si>
  <si>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</si>
  <si>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</si>
  <si>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</si>
  <si>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</si>
  <si>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</si>
  <si>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</si>
  <si>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</si>
  <si>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</si>
  <si>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</si>
  <si>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</si>
  <si>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</si>
  <si>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</si>
  <si>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</si>
  <si>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</si>
  <si>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</si>
  <si>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</si>
  <si>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</si>
  <si>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</si>
  <si>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1/8/2019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</si>
  <si>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</si>
  <si>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</si>
  <si>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</si>
  <si>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</si>
  <si>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</si>
  <si>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</si>
  <si>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</si>
  <si>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</si>
  <si>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</si>
  <si>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</si>
  <si>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</si>
  <si>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</si>
  <si>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</si>
  <si>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</si>
  <si>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</si>
  <si>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</si>
  <si>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</si>
  <si>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</si>
  <si>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</si>
  <si>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</si>
  <si>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</si>
  <si>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</si>
  <si>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</si>
  <si>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</si>
  <si>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</si>
  <si>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</si>
  <si>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</si>
  <si>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</si>
  <si>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</si>
  <si>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</si>
  <si>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</si>
  <si>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</si>
  <si>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</si>
  <si>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</si>
  <si>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1/4/2019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</si>
  <si>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</si>
  <si>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</si>
  <si>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</si>
  <si>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</si>
  <si>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</si>
  <si>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</si>
  <si>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</si>
  <si>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</si>
  <si>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</si>
  <si>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</si>
  <si>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</si>
  <si>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</si>
  <si>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</si>
  <si>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</si>
  <si>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</si>
  <si>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</si>
  <si>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1/3/2019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</si>
  <si>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</si>
  <si>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</si>
  <si>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</si>
  <si>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</si>
  <si>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</si>
  <si>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</si>
  <si>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</si>
  <si>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</si>
  <si>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</si>
  <si>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</si>
  <si>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</si>
  <si>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</si>
  <si>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</si>
  <si>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</si>
  <si>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</si>
  <si>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</si>
  <si>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</si>
  <si>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</si>
  <si>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</si>
  <si>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</si>
  <si>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</si>
  <si>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</si>
  <si>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</si>
  <si>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</si>
  <si>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</si>
  <si>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</si>
  <si>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</si>
  <si>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</si>
  <si>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</si>
  <si>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</si>
  <si>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</si>
  <si>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</si>
  <si>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</si>
  <si>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</si>
  <si>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</si>
  <si>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</si>
  <si>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</si>
  <si>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</si>
  <si>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</si>
  <si>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</si>
  <si>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</si>
  <si>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</si>
  <si>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</si>
  <si>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</si>
  <si>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</si>
  <si>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</si>
  <si>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</si>
  <si>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</si>
  <si>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</si>
  <si>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</si>
  <si>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</si>
  <si>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</si>
  <si>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</si>
  <si>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</si>
  <si>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</si>
  <si>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</si>
  <si>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</si>
  <si>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</si>
  <si>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</si>
  <si>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</si>
  <si>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</si>
  <si>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</si>
  <si>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1/11/2019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</si>
  <si>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</si>
  <si>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</si>
  <si>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</si>
  <si>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</si>
  <si>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</si>
  <si>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</si>
  <si>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</si>
  <si>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</si>
  <si>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</si>
  <si>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</si>
  <si>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</si>
  <si>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</si>
  <si>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</si>
  <si>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</si>
  <si>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</si>
  <si>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</si>
  <si>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</si>
  <si>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</si>
  <si>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</si>
  <si>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</si>
  <si>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</si>
  <si>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</si>
  <si>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</si>
  <si>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</si>
  <si>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</si>
  <si>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</si>
  <si>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</si>
  <si>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</si>
  <si>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</si>
  <si>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</si>
  <si>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</si>
  <si>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</si>
  <si>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</si>
  <si>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</si>
  <si>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</si>
  <si>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</si>
  <si>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</si>
  <si>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</si>
  <si>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</si>
  <si>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</si>
  <si>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</si>
  <si>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</si>
  <si>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</si>
  <si>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</si>
  <si>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</si>
  <si>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</si>
  <si>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</si>
  <si>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</si>
  <si>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</si>
  <si>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</si>
  <si>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</si>
  <si>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</si>
  <si>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</si>
  <si>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</si>
  <si>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</si>
  <si>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</si>
  <si>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</si>
  <si>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</si>
  <si>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</si>
  <si>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</si>
  <si>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</si>
  <si>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</si>
  <si>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</si>
  <si>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</si>
  <si>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</si>
  <si>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</si>
  <si>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</si>
  <si>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</si>
  <si>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</si>
  <si>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</si>
  <si>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</si>
  <si>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</si>
  <si>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</si>
  <si>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</si>
  <si>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</si>
  <si>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</si>
  <si>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</si>
  <si>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</si>
  <si>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</si>
  <si>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</si>
  <si>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</si>
  <si>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</si>
  <si>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</si>
  <si>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</si>
  <si>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</si>
  <si>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</si>
  <si>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</si>
  <si>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</si>
  <si>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</si>
  <si>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</si>
  <si>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</si>
  <si>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</si>
  <si>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</si>
  <si>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</si>
  <si>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</si>
  <si>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</si>
  <si>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</si>
  <si>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</si>
  <si>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</si>
  <si>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</si>
  <si>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</si>
  <si>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</si>
  <si>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</si>
  <si>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</si>
  <si>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</si>
  <si>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</si>
  <si>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</si>
  <si>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</si>
  <si>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</si>
  <si>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</si>
  <si>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</si>
  <si>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</si>
  <si>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</si>
  <si>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</si>
  <si>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</si>
  <si>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</si>
  <si>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</si>
  <si>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</si>
  <si>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</si>
  <si>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</si>
  <si>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</si>
  <si>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</si>
  <si>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</si>
  <si>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</si>
  <si>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2/4/2019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</si>
  <si>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</si>
  <si>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</si>
  <si>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</si>
  <si>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</si>
  <si>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</si>
  <si>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</si>
  <si>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</si>
  <si>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</si>
  <si>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</si>
  <si>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</si>
  <si>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</si>
  <si>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</si>
  <si>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</si>
  <si>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</si>
  <si>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</si>
  <si>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</si>
  <si>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</si>
  <si>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</si>
  <si>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</si>
  <si>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</si>
  <si>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</si>
  <si>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</si>
  <si>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</si>
  <si>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</si>
  <si>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</si>
  <si>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</si>
  <si>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</si>
  <si>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</si>
  <si>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</si>
  <si>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</si>
  <si>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</si>
  <si>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</si>
  <si>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</si>
  <si>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</si>
  <si>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</si>
  <si>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</si>
  <si>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</si>
  <si>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</si>
  <si>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</si>
  <si>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</si>
  <si>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</si>
  <si>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</si>
  <si>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</si>
  <si>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</si>
  <si>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</si>
  <si>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</si>
  <si>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</si>
  <si>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</si>
  <si>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</si>
  <si>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</si>
  <si>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</si>
  <si>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</si>
  <si>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</si>
  <si>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</si>
  <si>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</si>
  <si>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</si>
  <si>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</si>
  <si>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</si>
  <si>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</si>
  <si>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</si>
  <si>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</si>
  <si>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</si>
  <si>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</si>
  <si>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</si>
  <si>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</si>
  <si>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</si>
  <si>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</si>
  <si>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</si>
  <si>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</si>
  <si>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</si>
  <si>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</si>
  <si>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</si>
  <si>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</si>
  <si>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</si>
  <si>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</si>
  <si>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</si>
  <si>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</si>
  <si>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</si>
  <si>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</si>
  <si>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</si>
  <si>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</si>
  <si>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</si>
  <si>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</si>
  <si>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</si>
  <si>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</si>
  <si>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</si>
  <si>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</si>
  <si>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</si>
  <si>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</si>
  <si>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</si>
  <si>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</si>
  <si>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</si>
  <si>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</si>
  <si>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</si>
  <si>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</si>
  <si>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</si>
  <si>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</si>
  <si>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</si>
  <si>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</si>
  <si>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</si>
  <si>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</si>
  <si>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</si>
  <si>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</si>
  <si>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</si>
  <si>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</si>
  <si>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</si>
  <si>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</si>
  <si>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</si>
  <si>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</si>
  <si>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</si>
  <si>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</si>
  <si>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</si>
  <si>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</si>
  <si>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</si>
  <si>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</si>
  <si>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</si>
  <si>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</si>
  <si>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</si>
  <si>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</si>
  <si>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</si>
  <si>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</si>
  <si>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</si>
  <si>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</si>
  <si>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</si>
  <si>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</si>
  <si>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</si>
  <si>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</si>
  <si>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</si>
  <si>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</si>
  <si>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</si>
  <si>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</si>
  <si>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</si>
  <si>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</si>
  <si>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</si>
  <si>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</si>
  <si>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</si>
  <si>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</si>
  <si>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</si>
  <si>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</si>
  <si>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</si>
  <si>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</si>
  <si>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</si>
  <si>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</si>
  <si>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</si>
  <si>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</si>
  <si>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</si>
  <si>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</si>
  <si>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</si>
  <si>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</si>
  <si>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</si>
  <si>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</si>
  <si>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</si>
  <si>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</si>
  <si>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</si>
  <si>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</si>
  <si>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</si>
  <si>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</si>
  <si>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</si>
  <si>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</si>
  <si>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</si>
  <si>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</si>
  <si>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</si>
  <si>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</si>
  <si>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</si>
  <si>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</si>
  <si>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</si>
  <si>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</si>
  <si>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</si>
  <si>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</si>
  <si>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</si>
  <si>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</si>
  <si>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</si>
  <si>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</si>
  <si>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</si>
  <si>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</si>
  <si>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</si>
  <si>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</si>
  <si>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</si>
  <si>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</si>
  <si>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</si>
  <si>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</si>
  <si>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</si>
  <si>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</si>
  <si>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</si>
  <si>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</si>
  <si>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</si>
  <si>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</si>
  <si>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</si>
  <si>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</si>
  <si>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</si>
  <si>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</si>
  <si>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</si>
  <si>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</si>
  <si>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</si>
  <si>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</si>
  <si>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</si>
  <si>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</si>
  <si>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</si>
  <si>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</si>
  <si>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</si>
  <si>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</si>
  <si>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</si>
  <si>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</si>
  <si>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</si>
  <si>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</si>
  <si>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</si>
  <si>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</si>
  <si>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</si>
  <si>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</si>
  <si>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</si>
  <si>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</si>
  <si>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</si>
  <si>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</si>
  <si>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</si>
  <si>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</si>
  <si>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</si>
  <si>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</si>
  <si>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</si>
  <si>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</si>
  <si>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</si>
  <si>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</si>
  <si>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</si>
  <si>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</si>
  <si>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</si>
  <si>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</si>
  <si>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</si>
  <si>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</si>
  <si>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</si>
  <si>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</si>
  <si>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</si>
  <si>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</si>
  <si>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</si>
  <si>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</si>
  <si>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</si>
  <si>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</si>
  <si>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</si>
  <si>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</si>
  <si>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</si>
  <si>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</si>
  <si>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</si>
  <si>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</si>
  <si>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</si>
  <si>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</si>
  <si>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</si>
  <si>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</si>
  <si>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</si>
  <si>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</si>
  <si>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</si>
  <si>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</si>
  <si>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</si>
  <si>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</si>
  <si>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</si>
  <si>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</si>
  <si>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</si>
  <si>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</si>
  <si>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</si>
  <si>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</si>
  <si>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</si>
  <si>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</si>
  <si>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</si>
  <si>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</si>
  <si>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</si>
  <si>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</si>
  <si>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</si>
  <si>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</si>
  <si>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</si>
  <si>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</si>
  <si>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</si>
  <si>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</si>
  <si>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</si>
  <si>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</si>
  <si>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</si>
  <si>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</si>
  <si>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</si>
  <si>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</si>
  <si>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</si>
  <si>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</si>
  <si>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</si>
  <si>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</si>
  <si>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</si>
  <si>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</si>
  <si>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</si>
  <si>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</si>
  <si>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</si>
  <si>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</si>
  <si>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</si>
  <si>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</si>
  <si>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</si>
  <si>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</si>
  <si>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</si>
  <si>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</si>
  <si>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</si>
  <si>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</si>
  <si>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</si>
  <si>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</si>
  <si>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</si>
  <si>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</si>
  <si>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</si>
  <si>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</si>
  <si>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</si>
  <si>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</si>
  <si>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</si>
  <si>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</si>
  <si>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</si>
  <si>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</si>
  <si>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</si>
  <si>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</si>
  <si>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</si>
  <si>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</si>
  <si>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</si>
  <si>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</si>
  <si>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</si>
  <si>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</si>
  <si>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</si>
  <si>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</si>
  <si>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</si>
  <si>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</si>
  <si>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</si>
  <si>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</si>
  <si>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</si>
  <si>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</si>
  <si>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</si>
  <si>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</si>
  <si>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</si>
  <si>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</si>
  <si>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</si>
  <si>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</si>
  <si>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</si>
  <si>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</si>
  <si>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</si>
  <si>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</si>
  <si>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</si>
  <si>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</si>
  <si>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</si>
  <si>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</si>
  <si>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</si>
  <si>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</si>
  <si>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</si>
  <si>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</si>
  <si>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</si>
  <si>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</si>
  <si>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</si>
  <si>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</si>
  <si>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</si>
  <si>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</si>
  <si>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</si>
  <si>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</si>
  <si>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</si>
  <si>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</si>
  <si>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</si>
  <si>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</si>
  <si>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</si>
  <si>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</si>
  <si>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</si>
  <si>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</si>
  <si>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</si>
  <si>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</si>
  <si>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</si>
  <si>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</si>
  <si>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</si>
  <si>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</si>
  <si>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</si>
  <si>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</si>
  <si>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</si>
  <si>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</si>
  <si>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</si>
  <si>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</si>
  <si>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</si>
  <si>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</si>
  <si>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</si>
  <si>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</si>
  <si>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</si>
  <si>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</si>
  <si>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</si>
  <si>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</si>
  <si>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</si>
  <si>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</si>
  <si>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</si>
  <si>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</si>
  <si>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</si>
  <si>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</si>
  <si>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</si>
  <si>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</si>
  <si>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</si>
  <si>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</si>
  <si>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</si>
  <si>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</si>
  <si>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</si>
  <si>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</si>
  <si>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</si>
  <si>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</si>
  <si>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</si>
  <si>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</si>
  <si>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</si>
  <si>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</si>
  <si>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</si>
  <si>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</si>
  <si>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</si>
  <si>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</si>
  <si>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</si>
  <si>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</si>
  <si>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</si>
  <si>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</si>
  <si>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</si>
  <si>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</si>
  <si>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</si>
  <si>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</si>
  <si>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</si>
  <si>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</si>
  <si>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</si>
  <si>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</si>
  <si>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</si>
  <si>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</si>
  <si>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</si>
  <si>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</si>
  <si>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</si>
  <si>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</si>
  <si>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</si>
  <si>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</si>
  <si>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</si>
  <si>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</si>
  <si>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</si>
  <si>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</si>
  <si>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</si>
  <si>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</si>
  <si>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</si>
  <si>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</si>
  <si>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</si>
  <si>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</si>
  <si>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</si>
  <si>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</si>
  <si>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</si>
  <si>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</si>
  <si>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</si>
  <si>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</si>
  <si>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</si>
  <si>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</si>
  <si>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</si>
  <si>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</si>
  <si>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</si>
  <si>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</si>
  <si>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</si>
  <si>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</si>
  <si>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</si>
  <si>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</si>
  <si>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</si>
  <si>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</si>
  <si>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</si>
  <si>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</si>
  <si>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</si>
  <si>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</si>
  <si>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</si>
  <si>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</si>
  <si>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</si>
  <si>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</si>
  <si>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</si>
  <si>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</si>
  <si>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</si>
  <si>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</si>
  <si>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</si>
  <si>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</si>
  <si>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</si>
  <si>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</si>
  <si>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</si>
  <si>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</si>
  <si>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</si>
  <si>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</si>
  <si>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</si>
  <si>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</si>
  <si>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</si>
  <si>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</si>
  <si>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</si>
  <si>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</si>
  <si>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</si>
  <si>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</si>
  <si>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</si>
  <si>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</si>
  <si>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</si>
  <si>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</si>
  <si>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</si>
  <si>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</si>
  <si>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</si>
  <si>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</si>
  <si>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</si>
  <si>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</si>
  <si>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</si>
  <si>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</si>
  <si>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</si>
  <si>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</si>
  <si>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</si>
  <si>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</si>
  <si>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</si>
  <si>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</si>
  <si>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</si>
  <si>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</si>
  <si>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</si>
  <si>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</si>
  <si>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</si>
  <si>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</si>
  <si>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</si>
  <si>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</si>
  <si>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</si>
  <si>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</si>
  <si>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</si>
  <si>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</si>
  <si>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</si>
  <si>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</si>
  <si>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</si>
  <si>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</si>
  <si>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</si>
  <si>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</si>
  <si>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</si>
  <si>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</si>
  <si>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</si>
  <si>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</si>
  <si>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</si>
  <si>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</si>
  <si>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</si>
  <si>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</si>
  <si>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</si>
  <si>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</si>
  <si>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</si>
  <si>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</si>
  <si>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</si>
  <si>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</si>
  <si>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</si>
  <si>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</si>
  <si>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</si>
  <si>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</si>
  <si>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</si>
  <si>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</si>
  <si>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</si>
  <si>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</si>
  <si>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</si>
  <si>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</si>
  <si>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</si>
  <si>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</si>
  <si>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</si>
  <si>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</si>
  <si>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</si>
  <si>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</si>
  <si>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</si>
  <si>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</si>
  <si>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</si>
  <si>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</si>
  <si>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</si>
  <si>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</si>
  <si>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</si>
  <si>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</si>
  <si>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</si>
  <si>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</si>
  <si>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</si>
  <si>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</si>
  <si>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</si>
  <si>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</si>
  <si>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</si>
  <si>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</si>
  <si>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</si>
  <si>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</si>
  <si>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</si>
  <si>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</si>
  <si>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</si>
  <si>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</si>
  <si>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</si>
  <si>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</si>
  <si>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</si>
  <si>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</si>
  <si>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</si>
  <si>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</si>
  <si>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</si>
  <si>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</si>
  <si>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</si>
  <si>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</si>
  <si>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</si>
  <si>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</si>
  <si>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</si>
  <si>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</si>
  <si>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</si>
  <si>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</si>
  <si>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</si>
  <si>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</si>
  <si>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</si>
  <si>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</si>
  <si>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</si>
  <si>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</si>
  <si>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</si>
  <si>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</si>
  <si>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</si>
  <si>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</si>
  <si>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</si>
  <si>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</si>
  <si>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</si>
  <si>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</si>
  <si>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</si>
  <si>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</si>
  <si>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</si>
  <si>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</si>
  <si>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</si>
  <si>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</si>
  <si>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</si>
  <si>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</si>
  <si>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</si>
  <si>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</si>
  <si>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</si>
  <si>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</si>
  <si>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</si>
  <si>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</si>
  <si>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</si>
  <si>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</si>
  <si>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</si>
  <si>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</si>
  <si>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</si>
  <si>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</si>
  <si>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</si>
  <si>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</si>
  <si>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</si>
  <si>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</si>
  <si>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</si>
  <si>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</si>
  <si>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</si>
  <si>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</si>
  <si>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</si>
  <si>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</si>
  <si>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</si>
  <si>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</si>
  <si>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</si>
  <si>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</si>
  <si>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</si>
  <si>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</si>
  <si>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</si>
  <si>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</si>
  <si>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</si>
  <si>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</si>
  <si>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</si>
  <si>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</si>
  <si>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</si>
  <si>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</si>
  <si>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</si>
  <si>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</si>
  <si>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</si>
  <si>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</si>
  <si>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</si>
  <si>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</si>
  <si>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</si>
  <si>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</si>
  <si>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</si>
  <si>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</si>
  <si>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</si>
  <si>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</si>
  <si>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</si>
  <si>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</si>
  <si>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</si>
  <si>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</si>
  <si>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</si>
  <si>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Data</t>
  </si>
  <si>
    <t>Desc</t>
  </si>
  <si>
    <t>Head</t>
  </si>
  <si>
    <t># registros</t>
  </si>
  <si>
    <t>Más agregaciones</t>
  </si>
  <si>
    <t>Agrupación con dos cols</t>
  </si>
  <si>
    <t>Lo demás está en el notebook….</t>
  </si>
  <si>
    <t>Gráfico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</si>
</sst>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[$-F400]h:mm:ss\ AM/PM"/>
    <numFmt numFmtId="167" formatCode="_-* #,##0.0_-;\-* #,##0.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65" fontId="0" fillId="0" borderId="0" xfId="0" applyNumberFormat="1"/>
    <xf numFmtId="167" fontId="0" fillId="0" borderId="0" xfId="1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9"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17/06/relationships/rdSupportingPropertyBagStructure" Target="richData/rdsupportingpropertybagstructure.xml"/><Relationship Id="rId1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microsoft.com/office/2017/06/relationships/richStyles" Target="richData/rich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connections" Target="connections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157370</xdr:colOff>
      <xdr:row>31</xdr:row>
      <xdr:rowOff>0</xdr:rowOff>
    </xdr:from>
    <xdr:to>
      <xdr:col>14</xdr:col>
      <xdr:colOff>648943</xdr:colOff>
      <xdr:row>60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4E978A-A36A-B36F-11E8-0E32CA9CCD1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Hoja1!C3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0718" y="5905500"/>
          <a:ext cx="9420225" cy="56197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DED592A-2E70-4650-867B-EA6803774A23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7">
  <a r="12" c="12">
    <v t="s"/>
    <v t="s">Invoice ID</v>
    <v t="s">Branch</v>
    <v t="s">City</v>
    <v t="s">Customer type</v>
    <v t="s">Gender</v>
    <v t="s">...</v>
    <v t="s">Payment</v>
    <v t="s">cogs</v>
    <v t="s">gross margin percentage</v>
    <v t="s">gross income</v>
    <v t="s">Rating</v>
    <v>0</v>
    <v t="s">750-67-8428</v>
    <v t="s">A</v>
    <v t="s">Yangon</v>
    <v t="s">Member</v>
    <v t="s">Female</v>
    <v t="s">...</v>
    <v t="s">Ewallet</v>
    <v>52283</v>
    <v>4761904762</v>
    <v>261415</v>
    <v>91</v>
    <v>1</v>
    <v t="s">226-31-3081</v>
    <v t="s">C</v>
    <v t="s">Naypyitaw</v>
    <v t="s">Normal</v>
    <v t="s">Female</v>
    <v t="s">...</v>
    <v t="s">Cash</v>
    <v>764</v>
    <v>4761904762</v>
    <v>382</v>
    <v>96</v>
    <v>2</v>
    <v t="s">631-41-3108</v>
    <v t="s">A</v>
    <v t="s">Yangon</v>
    <v t="s">Normal</v>
    <v t="s">Male</v>
    <v t="s">...</v>
    <v t="s">Credit card</v>
    <v>32431</v>
    <v>4761904762</v>
    <v>162155</v>
    <v>74</v>
    <v>3</v>
    <v t="s">123-19-1176</v>
    <v t="s">A</v>
    <v t="s">Yangon</v>
    <v t="s">Member</v>
    <v t="s">Male</v>
    <v t="s">...</v>
    <v t="s">Ewallet</v>
    <v>46576</v>
    <v>4761904762</v>
    <v>23288</v>
    <v>84</v>
    <v>4</v>
    <v t="s">373-73-7910</v>
    <v t="s">A</v>
    <v t="s">Yangon</v>
    <v t="s">Normal</v>
    <v t="s">Male</v>
    <v t="s">...</v>
    <v t="s">Ewallet</v>
    <v>60417</v>
    <v>4761904762</v>
    <v>302085</v>
    <v>53</v>
    <v t="s">...</v>
    <v t="s">...</v>
    <v t="s">...</v>
    <v t="s">...</v>
    <v t="s">...</v>
    <v t="s">...</v>
    <v t="s">...</v>
    <v t="s">...</v>
    <v t="s">...</v>
    <v t="s">...</v>
    <v t="s">...</v>
    <v t="s">...</v>
    <v>995</v>
    <v t="s">233-67-5758</v>
    <v t="s">C</v>
    <v t="s">Naypyitaw</v>
    <v t="s">Normal</v>
    <v t="s">Male</v>
    <v t="s">...</v>
    <v t="s">Ewallet</v>
    <v>4035</v>
    <v>4761904762</v>
    <v>20175</v>
    <v>62</v>
    <v>996</v>
    <v t="s">303-96-2227</v>
    <v t="s">B</v>
    <v t="s">Mandalay</v>
    <v t="s">Normal</v>
    <v t="s">Female</v>
    <v t="s">...</v>
    <v t="s">Ewallet</v>
    <v>9738</v>
    <v>4761904762</v>
    <v>4869</v>
    <v>44</v>
    <v>997</v>
    <v t="s">727-02-1313</v>
    <v t="s">A</v>
    <v t="s">Yangon</v>
    <v t="s">Member</v>
    <v t="s">Male</v>
    <v t="s">...</v>
    <v t="s">Cash</v>
    <v>3184</v>
    <v>4761904762</v>
    <v>1592</v>
    <v>77</v>
    <v>998</v>
    <v t="s">347-56-2442</v>
    <v t="s">A</v>
    <v t="s">Yangon</v>
    <v t="s">Normal</v>
    <v t="s">Male</v>
    <v t="s">...</v>
    <v t="s">Cash</v>
    <v>6582</v>
    <v>4761904762</v>
    <v>3291</v>
    <v>41</v>
    <v>999</v>
    <v t="s">849-09-3807</v>
    <v t="s">A</v>
    <v t="s">Yangon</v>
    <v t="s">Member</v>
    <v t="s">Female</v>
    <v t="s">...</v>
    <v t="s">Cash</v>
    <v>61838</v>
    <v>4761904762</v>
    <v>30919</v>
    <v>66</v>
  </a>
  <a r="6" c="12">
    <v t="s"/>
    <v t="s">Invoice ID</v>
    <v t="s">Branch</v>
    <v t="s">City</v>
    <v t="s">Customer type</v>
    <v t="s">Gender</v>
    <v t="s">...</v>
    <v t="s">Payment</v>
    <v t="s">cogs</v>
    <v t="s">gross margin percentage</v>
    <v t="s">gross income</v>
    <v t="s">Rating</v>
    <v>0</v>
    <v t="s">750-67-8428</v>
    <v t="s">A</v>
    <v t="s">Yangon</v>
    <v t="s">Member</v>
    <v t="s">Female</v>
    <v t="s">...</v>
    <v t="s">Ewallet</v>
    <v>52283</v>
    <v>4761904762</v>
    <v>261415</v>
    <v>91</v>
    <v>1</v>
    <v t="s">226-31-3081</v>
    <v t="s">C</v>
    <v t="s">Naypyitaw</v>
    <v t="s">Normal</v>
    <v t="s">Female</v>
    <v t="s">...</v>
    <v t="s">Cash</v>
    <v>764</v>
    <v>4761904762</v>
    <v>382</v>
    <v>96</v>
    <v>2</v>
    <v t="s">631-41-3108</v>
    <v t="s">A</v>
    <v t="s">Yangon</v>
    <v t="s">Normal</v>
    <v t="s">Male</v>
    <v t="s">...</v>
    <v t="s">Credit card</v>
    <v>32431</v>
    <v>4761904762</v>
    <v>162155</v>
    <v>74</v>
    <v>3</v>
    <v t="s">123-19-1176</v>
    <v t="s">A</v>
    <v t="s">Yangon</v>
    <v t="s">Member</v>
    <v t="s">Male</v>
    <v t="s">...</v>
    <v t="s">Ewallet</v>
    <v>46576</v>
    <v>4761904762</v>
    <v>23288</v>
    <v>84</v>
    <v>4</v>
    <v t="s">373-73-7910</v>
    <v t="s">A</v>
    <v t="s">Yangon</v>
    <v t="s">Normal</v>
    <v t="s">Male</v>
    <v t="s">...</v>
    <v t="s">Ewallet</v>
    <v>60417</v>
    <v>4761904762</v>
    <v>302085</v>
    <v>53</v>
  </a>
  <a r="9" c="9">
    <v t="s"/>
    <v t="s">Unit price</v>
    <v t="s">Quantity</v>
    <v t="s">Tax 5%</v>
    <v t="s">Total</v>
    <v t="s">cogs</v>
    <v t="s">gross margin percentage</v>
    <v t="s">gross income</v>
    <v t="s">Rating</v>
    <v t="s">count</v>
    <v>1000</v>
    <v>1000</v>
    <v>1000</v>
    <v>1000</v>
    <v>1000</v>
    <v>1000</v>
    <v>1000</v>
    <v>1000</v>
    <v t="s">mean</v>
    <v>5043.3320000000003</v>
    <v>5.51</v>
    <v>41765.065000000002</v>
    <v>877066.36499999999</v>
    <v>20848.037</v>
    <v>4761904762</v>
    <v>41765.065000000002</v>
    <v>62.545000000000002</v>
    <v t="s">std</v>
    <v>2899.7439940461986</v>
    <v>2.9234305954556969</v>
    <v>76594.839139511096</v>
    <v>1608491.6219297317</v>
    <v>21096.2910395941</v>
    <v>0</v>
    <v>76594.839139511096</v>
    <v>26.149450639903872</v>
    <v t="s">min</v>
    <v>25</v>
    <v>1</v>
    <v>29</v>
    <v>609</v>
    <v>25</v>
    <v>4761904762</v>
    <v>29</v>
    <v>4</v>
    <v t="s">25%</v>
    <v>2476.25</v>
    <v>3</v>
    <v>4128</v>
    <v>86688</v>
    <v>4565.5</v>
    <v>4761904762</v>
    <v>4128</v>
    <v>49</v>
    <v t="s">50%</v>
    <v>5064</v>
    <v>5</v>
    <v>13266</v>
    <v>278586</v>
    <v>12599.5</v>
    <v>4761904762</v>
    <v>13266</v>
    <v>66</v>
    <v t="s">75%</v>
    <v>7469.5</v>
    <v>8</v>
    <v>33183.25</v>
    <v>696848.25</v>
    <v>31867.75</v>
    <v>4761904762</v>
    <v>33183.25</v>
    <v>83.25</v>
    <v t="s">max</v>
    <v>9996</v>
    <v>10</v>
    <v>448785</v>
    <v>9424485</v>
    <v>89964</v>
    <v>4761904762</v>
    <v>448785</v>
    <v>99</v>
  </a>
  <a r="4" c="2">
    <v t="s">City</v>
    <v t="s">Invoice ID</v>
    <v t="s">Mandalay</v>
    <v>332</v>
    <v t="s">Naypyitaw</v>
    <v>328</v>
    <v t="s">Yangon</v>
    <v>340</v>
  </a>
  <a r="5" c="6">
    <v t="s"/>
    <v t="s">promedio</v>
    <v t="s">sum_quantity</v>
    <v t="s">count_invoices</v>
    <v t="s">min_rating</v>
    <v t="s">max_rating</v>
    <v t="s">City</v>
    <v t="s"/>
    <v t="s"/>
    <v t="s"/>
    <v t="s"/>
    <v t="s"/>
    <v t="s">Mandalay</v>
    <v>879247.60843373497</v>
    <v>1820</v>
    <v>332</v>
    <v>4</v>
    <v>99</v>
    <v t="s">Naypyitaw</v>
    <v>925844.79878048785</v>
    <v>1831</v>
    <v>328</v>
    <v>4</v>
    <v>99</v>
    <v t="s">Yangon</v>
    <v>827879.6029411765</v>
    <v>1859</v>
    <v>340</v>
    <v>4</v>
    <v>99</v>
  </a>
  <a r="8" c="6">
    <v t="s"/>
    <v t="s"/>
    <v t="s">mean_total</v>
    <v t="s">sum_quantity</v>
    <v t="s">count_invoices</v>
    <v t="s">avg_rating</v>
    <v t="s">City</v>
    <v t="s">Customer type</v>
    <v t="s"/>
    <v t="s"/>
    <v t="s"/>
    <v t="s"/>
    <v t="s">Mandalay</v>
    <v t="s">Member</v>
    <v>984775.65454545454</v>
    <v>924</v>
    <v>165</v>
    <v>56.903030303030306</v>
    <v t="s">Mandalay</v>
    <v t="s">Normal</v>
    <v>774983.37125748501</v>
    <v>896</v>
    <v>167</v>
    <v>61.970059880239518</v>
    <v t="s">Naypyitaw</v>
    <v t="s">Member</v>
    <v>1080989.0414201184</v>
    <v>897</v>
    <v>169</v>
    <v>64.89349112426035</v>
    <v t="s">Naypyitaw</v>
    <v t="s">Normal</v>
    <v>760943.05660377361</v>
    <v>934</v>
    <v>159</v>
    <v>63.515723270440255</v>
    <v t="s">Yangon</v>
    <v t="s">Member</v>
    <v>725360.11976047908</v>
    <v>964</v>
    <v>167</v>
    <v>63.790419161676645</v>
    <v t="s">Yangon</v>
    <v t="s">Normal</v>
    <v>926843.49710982654</v>
    <v>895</v>
    <v>173</v>
    <v>64.092485549132945</v>
  </a>
  <a r="2">
    <v>989</v>
    <v>590</v>
  </a>
</arrayData>
</file>

<file path=xl/richData/rdrichvalue.xml><?xml version="1.0" encoding="utf-8"?>
<rvData xmlns="http://schemas.microsoft.com/office/spreadsheetml/2017/richdata" count="22">
  <rv s="0">
    <v>0</v>
  </rv>
  <rv s="1">
    <v>DataFrame</v>
    <v>1</v>
    <v>0</v>
  </rv>
  <rv s="2">
    <v>&lt;class 'pandas.core.frame.DataFrame'&gt;</v>
    <v>DataFrame</v>
    <v xml:space="preserve">      Invoice ID Branch       City Customer type  Gender  \
0    750-67-8428      A     Yangon        Member  Female   
1    226-31-3081      C  Naypyitaw        Normal  Female   
2    631-41-3108      A     Yangon        Normal    Male   
3    123-19-...</v>
    <v>1</v>
    <v>2</v>
  </rv>
  <rv s="0">
    <v>1</v>
  </rv>
  <rv s="1">
    <v>DataFrame</v>
    <v>4</v>
    <v>3</v>
  </rv>
  <rv s="2">
    <v>&lt;class 'pandas.core.frame.DataFrame'&gt;</v>
    <v>DataFrame</v>
    <v xml:space="preserve">    Invoice ID Branch       City Customer type  Gender  \
0  750-67-8428      A     Yangon        Member  Female   
1  226-31-3081      C  Naypyitaw        Normal  Female   
2  631-41-3108      A     Yangon        Normal    Male   
3  123-19-1176      ...</v>
    <v>4</v>
    <v>2</v>
  </rv>
  <rv s="0">
    <v>2</v>
  </rv>
  <rv s="1">
    <v>DataFrame</v>
    <v>6</v>
    <v>6</v>
  </rv>
  <rv s="2">
    <v>&lt;class 'pandas.core.frame.DataFrame'&gt;</v>
    <v>DataFrame</v>
    <v xml:space="preserve">        Unit price     Quantity        Tax 5%         Total         cogs  \
count  1000.000000  1000.000000    1000.00000  1.000000e+03   1000.00000   
mean   5043.332000     5.510000   41765.06500  8.770664e+05  20848.03700   
std    2899.743994     2...</v>
    <v>7</v>
    <v>2</v>
  </rv>
  <rv s="0">
    <v>3</v>
  </rv>
  <rv s="1">
    <v>Series</v>
    <v>8</v>
    <v>9</v>
  </rv>
  <rv s="2">
    <v>&lt;class 'pandas.core.series.Series'&gt;</v>
    <v>Series</v>
    <v>City
Mandalay     332
Naypyitaw    328
Yangon       340
Name: Invoice ID, dtype: int64</v>
    <v>10</v>
    <v>2</v>
  </rv>
  <rv s="0">
    <v>4</v>
  </rv>
  <rv s="1">
    <v>DataFrame</v>
    <v>10</v>
    <v>12</v>
  </rv>
  <rv s="2">
    <v>&lt;class 'pandas.core.frame.DataFrame'&gt;</v>
    <v>DataFrame</v>
    <v xml:space="preserve">                promedio  sum_quantity  count_invoices  min_rating  max_rating
City                                                                          
Mandalay   879247.608434          1820             332           4          99
Naypyitaw  9258...</v>
    <v>13</v>
    <v>2</v>
  </rv>
  <rv s="0">
    <v>5</v>
  </rv>
  <rv s="1">
    <v>DataFrame</v>
    <v>12</v>
    <v>15</v>
  </rv>
  <rv s="2">
    <v>&lt;class 'pandas.core.frame.DataFrame'&gt;</v>
    <v>DataFrame</v>
    <v xml:space="preserve">                           mean_total  sum_quantity  count_invoices  \
City      Customer type                                               
Mandalay  Member         9.847757e+05           924             165   
          Normal         7.749834e+05  ...</v>
    <v>16</v>
    <v>2</v>
  </rv>
  <rv s="3">
    <v>0</v>
    <v>9</v>
  </rv>
  <rv s="0">
    <v>6</v>
  </rv>
  <rv s="4">
    <v>Image</v>
    <v>13</v>
    <v>18</v>
    <v>19</v>
  </rv>
  <rv s="2">
    <v>&lt;class 'PIL.PngImagePlugin.PngImageFile'&gt;</v>
    <v>PngImageFile</v>
    <v>&lt;PIL.PngImagePlugin.PngImageFile image mode=RGBA size=989x590 at 0x7F65E37507D0&gt;</v>
    <v>20</v>
    <v>2</v>
  </rv>
</rvData>
</file>

<file path=xl/richData/rdrichvaluestructure.xml><?xml version="1.0" encoding="utf-8"?>
<rvStructures xmlns="http://schemas.microsoft.com/office/spreadsheetml/2017/richdata" count="5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14">
    <spb s="0">
      <v>1000</v>
      <v>17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proporcionado por Anaconda</v>
    </spb>
    <spb s="0">
      <v>5</v>
      <v>17</v>
      <v>DataFrame</v>
      <v>arrayPreview</v>
      <v>1</v>
    </spb>
    <spb s="1">
      <v>3</v>
    </spb>
    <spb s="0">
      <v>8</v>
      <v>8</v>
      <v>DataFrame</v>
      <v>arrayPreview</v>
      <v>1</v>
    </spb>
    <spb s="1">
      <v>5</v>
    </spb>
    <spb s="0">
      <v>3</v>
      <v>1</v>
      <v>Series</v>
      <v>arrayPreview</v>
      <v>1</v>
    </spb>
    <spb s="1">
      <v>7</v>
    </spb>
    <spb s="0">
      <v>3</v>
      <v>5</v>
      <v>DataFrame</v>
      <v>arrayPreview</v>
      <v>1</v>
    </spb>
    <spb s="1">
      <v>9</v>
    </spb>
    <spb s="0">
      <v>6</v>
      <v>4</v>
      <v>DataFrame</v>
      <v>arrayPreview</v>
      <v>1</v>
    </spb>
    <spb s="1">
      <v>11</v>
    </spb>
    <spb s="3">
      <v>1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17813-CA24-4688-AC28-B9AA4EE9E78F}" name="df" displayName="df" ref="A1:Q1001" tableType="queryTable" totalsRowShown="0">
  <autoFilter ref="A1:Q1001" xr:uid="{E7017813-CA24-4688-AC28-B9AA4EE9E78F}"/>
  <tableColumns count="17">
    <tableColumn id="1" xr3:uid="{0601891A-CC46-406B-84C9-822EA0A81433}" uniqueName="1" name="Invoice ID" queryTableFieldId="1" dataDxfId="8"/>
    <tableColumn id="2" xr3:uid="{21B4F3BA-DC27-4391-B59C-12D911CB6012}" uniqueName="2" name="Branch" queryTableFieldId="2" dataDxfId="7"/>
    <tableColumn id="3" xr3:uid="{04DD36DA-91B5-481B-A010-E4306DF3837A}" uniqueName="3" name="City" queryTableFieldId="3" dataDxfId="6"/>
    <tableColumn id="4" xr3:uid="{052E2E48-0F97-47A4-A38B-060D6E694E1C}" uniqueName="4" name="Customer type" queryTableFieldId="4" dataDxfId="5"/>
    <tableColumn id="5" xr3:uid="{5EBD17FF-D200-485D-89CB-A396E89BCF89}" uniqueName="5" name="Gender" queryTableFieldId="5" dataDxfId="4"/>
    <tableColumn id="6" xr3:uid="{95B3F99C-9C6B-4E3F-94D5-12CAC377F282}" uniqueName="6" name="Product line" queryTableFieldId="6" dataDxfId="3"/>
    <tableColumn id="7" xr3:uid="{D9982DA3-D16D-4AD8-90B5-8838615B9E71}" uniqueName="7" name="Unit price" queryTableFieldId="7"/>
    <tableColumn id="8" xr3:uid="{74638725-3DFD-4394-ABB5-8CD394B56EE1}" uniqueName="8" name="Quantity" queryTableFieldId="8"/>
    <tableColumn id="9" xr3:uid="{4FB3E707-FF7F-4A9E-A553-A1A10D5EAA3E}" uniqueName="9" name="Tax 5%" queryTableFieldId="9"/>
    <tableColumn id="10" xr3:uid="{C88B20C5-A58A-4941-9E38-DBEA4B7576A2}" uniqueName="10" name="Total" queryTableFieldId="10"/>
    <tableColumn id="11" xr3:uid="{54B6D42E-CA77-41D0-818B-38BE73872113}" uniqueName="11" name="Date" queryTableFieldId="11" dataDxfId="2"/>
    <tableColumn id="12" xr3:uid="{7BD70FB1-1B62-4669-82E2-3A405AE0620D}" uniqueName="12" name="Time" queryTableFieldId="12" dataDxfId="1"/>
    <tableColumn id="13" xr3:uid="{17C30D05-D066-4DFD-A8AB-04934F58A4C0}" uniqueName="13" name="Payment" queryTableFieldId="13" dataDxfId="0"/>
    <tableColumn id="14" xr3:uid="{2C0B964D-054A-4DA4-909B-62018D5E6389}" uniqueName="14" name="cogs" queryTableFieldId="14"/>
    <tableColumn id="15" xr3:uid="{D1908205-1EAB-4C74-A342-453A30C66990}" uniqueName="15" name="gross margin percentage" queryTableFieldId="15"/>
    <tableColumn id="16" xr3:uid="{B56F5028-078B-4FEC-8023-554878519C87}" uniqueName="16" name="gross income" queryTableFieldId="16"/>
    <tableColumn id="17" xr3:uid="{34941DB1-E8D5-4B8A-BC31-379FD0890E91}" uniqueName="17" name="Rating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7EEC-C9BB-46E0-AF65-F7FD4EC2DA37}">
  <dimension ref="A1:Q1001"/>
  <sheetViews>
    <sheetView workbookViewId="0">
      <selection activeCell="O1" sqref="O1"/>
    </sheetView>
  </sheetViews>
  <sheetFormatPr baseColWidth="10" defaultRowHeight="15" x14ac:dyDescent="0.25"/>
  <cols>
    <col min="1" max="1" width="12.28515625" bestFit="1" customWidth="1"/>
    <col min="2" max="2" width="9.42578125" bestFit="1" customWidth="1"/>
    <col min="3" max="3" width="10.140625" bestFit="1" customWidth="1"/>
    <col min="4" max="4" width="16.7109375" bestFit="1" customWidth="1"/>
    <col min="5" max="5" width="10" bestFit="1" customWidth="1"/>
    <col min="6" max="6" width="20.85546875" bestFit="1" customWidth="1"/>
    <col min="7" max="7" width="12" bestFit="1" customWidth="1"/>
    <col min="8" max="8" width="11" bestFit="1" customWidth="1"/>
    <col min="9" max="9" width="9.28515625" bestFit="1" customWidth="1"/>
    <col min="10" max="10" width="8" bestFit="1" customWidth="1"/>
    <col min="11" max="11" width="9.42578125" bestFit="1" customWidth="1"/>
    <col min="12" max="12" width="13" bestFit="1" customWidth="1"/>
    <col min="13" max="13" width="11.140625" bestFit="1" customWidth="1"/>
    <col min="14" max="14" width="7.42578125" bestFit="1" customWidth="1"/>
    <col min="15" max="15" width="25.5703125" bestFit="1" customWidth="1"/>
    <col min="16" max="16" width="15.28515625" bestFit="1" customWidth="1"/>
    <col min="17" max="17" width="9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>
        <v>7469</v>
      </c>
      <c r="H2">
        <v>7</v>
      </c>
      <c r="I2">
        <v>261415</v>
      </c>
      <c r="J2">
        <v>5489715</v>
      </c>
      <c r="K2" s="1" t="s">
        <v>23</v>
      </c>
      <c r="L2" s="2">
        <v>0.54722222222222228</v>
      </c>
      <c r="M2" s="1" t="s">
        <v>24</v>
      </c>
      <c r="N2">
        <v>52283</v>
      </c>
      <c r="O2">
        <v>4761904762</v>
      </c>
      <c r="P2">
        <v>261415</v>
      </c>
      <c r="Q2">
        <v>91</v>
      </c>
    </row>
    <row r="3" spans="1:17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29</v>
      </c>
      <c r="G3">
        <v>1528</v>
      </c>
      <c r="H3">
        <v>5</v>
      </c>
      <c r="I3">
        <v>382</v>
      </c>
      <c r="J3">
        <v>8022</v>
      </c>
      <c r="K3" s="1" t="s">
        <v>30</v>
      </c>
      <c r="L3" s="2">
        <v>0.43680555555555556</v>
      </c>
      <c r="M3" s="1" t="s">
        <v>31</v>
      </c>
      <c r="N3">
        <v>764</v>
      </c>
      <c r="O3">
        <v>4761904762</v>
      </c>
      <c r="P3">
        <v>382</v>
      </c>
      <c r="Q3">
        <v>96</v>
      </c>
    </row>
    <row r="4" spans="1:17" x14ac:dyDescent="0.25">
      <c r="A4" s="1" t="s">
        <v>32</v>
      </c>
      <c r="B4" s="1" t="s">
        <v>18</v>
      </c>
      <c r="C4" s="1" t="s">
        <v>19</v>
      </c>
      <c r="D4" s="1" t="s">
        <v>28</v>
      </c>
      <c r="E4" s="1" t="s">
        <v>33</v>
      </c>
      <c r="F4" s="1" t="s">
        <v>34</v>
      </c>
      <c r="G4">
        <v>4633</v>
      </c>
      <c r="H4">
        <v>7</v>
      </c>
      <c r="I4">
        <v>162155</v>
      </c>
      <c r="J4">
        <v>3405255</v>
      </c>
      <c r="K4" s="1" t="s">
        <v>35</v>
      </c>
      <c r="L4" s="2">
        <v>0.55763888888888891</v>
      </c>
      <c r="M4" s="1" t="s">
        <v>36</v>
      </c>
      <c r="N4">
        <v>32431</v>
      </c>
      <c r="O4">
        <v>4761904762</v>
      </c>
      <c r="P4">
        <v>162155</v>
      </c>
      <c r="Q4">
        <v>74</v>
      </c>
    </row>
    <row r="5" spans="1:17" x14ac:dyDescent="0.25">
      <c r="A5" s="1" t="s">
        <v>37</v>
      </c>
      <c r="B5" s="1" t="s">
        <v>18</v>
      </c>
      <c r="C5" s="1" t="s">
        <v>19</v>
      </c>
      <c r="D5" s="1" t="s">
        <v>20</v>
      </c>
      <c r="E5" s="1" t="s">
        <v>33</v>
      </c>
      <c r="F5" s="1" t="s">
        <v>22</v>
      </c>
      <c r="G5">
        <v>5822</v>
      </c>
      <c r="H5">
        <v>8</v>
      </c>
      <c r="I5">
        <v>23288</v>
      </c>
      <c r="J5">
        <v>489048</v>
      </c>
      <c r="K5" s="1" t="s">
        <v>38</v>
      </c>
      <c r="L5" s="2">
        <v>0.85624999999999996</v>
      </c>
      <c r="M5" s="1" t="s">
        <v>24</v>
      </c>
      <c r="N5">
        <v>46576</v>
      </c>
      <c r="O5">
        <v>4761904762</v>
      </c>
      <c r="P5">
        <v>23288</v>
      </c>
      <c r="Q5">
        <v>84</v>
      </c>
    </row>
    <row r="6" spans="1:17" x14ac:dyDescent="0.25">
      <c r="A6" s="1" t="s">
        <v>39</v>
      </c>
      <c r="B6" s="1" t="s">
        <v>18</v>
      </c>
      <c r="C6" s="1" t="s">
        <v>19</v>
      </c>
      <c r="D6" s="1" t="s">
        <v>28</v>
      </c>
      <c r="E6" s="1" t="s">
        <v>33</v>
      </c>
      <c r="F6" s="1" t="s">
        <v>40</v>
      </c>
      <c r="G6">
        <v>8631</v>
      </c>
      <c r="H6">
        <v>7</v>
      </c>
      <c r="I6">
        <v>302085</v>
      </c>
      <c r="J6">
        <v>6343785</v>
      </c>
      <c r="K6" s="1" t="s">
        <v>41</v>
      </c>
      <c r="L6" s="2">
        <v>0.44236111111111109</v>
      </c>
      <c r="M6" s="1" t="s">
        <v>24</v>
      </c>
      <c r="N6">
        <v>60417</v>
      </c>
      <c r="O6">
        <v>4761904762</v>
      </c>
      <c r="P6">
        <v>302085</v>
      </c>
      <c r="Q6">
        <v>53</v>
      </c>
    </row>
    <row r="7" spans="1:17" x14ac:dyDescent="0.25">
      <c r="A7" s="1" t="s">
        <v>42</v>
      </c>
      <c r="B7" s="1" t="s">
        <v>26</v>
      </c>
      <c r="C7" s="1" t="s">
        <v>27</v>
      </c>
      <c r="D7" s="1" t="s">
        <v>28</v>
      </c>
      <c r="E7" s="1" t="s">
        <v>33</v>
      </c>
      <c r="F7" s="1" t="s">
        <v>29</v>
      </c>
      <c r="G7">
        <v>8539</v>
      </c>
      <c r="H7">
        <v>7</v>
      </c>
      <c r="I7">
        <v>298865</v>
      </c>
      <c r="J7">
        <v>6276165</v>
      </c>
      <c r="K7" s="1" t="s">
        <v>43</v>
      </c>
      <c r="L7" s="2">
        <v>0.77083333333333337</v>
      </c>
      <c r="M7" s="1" t="s">
        <v>24</v>
      </c>
      <c r="N7">
        <v>59773</v>
      </c>
      <c r="O7">
        <v>4761904762</v>
      </c>
      <c r="P7">
        <v>298865</v>
      </c>
      <c r="Q7">
        <v>41</v>
      </c>
    </row>
    <row r="8" spans="1:17" x14ac:dyDescent="0.25">
      <c r="A8" s="1" t="s">
        <v>44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29</v>
      </c>
      <c r="G8">
        <v>6884</v>
      </c>
      <c r="H8">
        <v>6</v>
      </c>
      <c r="I8">
        <v>20652</v>
      </c>
      <c r="J8">
        <v>433692</v>
      </c>
      <c r="K8" s="1" t="s">
        <v>45</v>
      </c>
      <c r="L8" s="2">
        <v>0.60833333333333328</v>
      </c>
      <c r="M8" s="1" t="s">
        <v>24</v>
      </c>
      <c r="N8">
        <v>41304</v>
      </c>
      <c r="O8">
        <v>4761904762</v>
      </c>
      <c r="P8">
        <v>20652</v>
      </c>
      <c r="Q8">
        <v>58</v>
      </c>
    </row>
    <row r="9" spans="1:17" x14ac:dyDescent="0.25">
      <c r="A9" s="1" t="s">
        <v>46</v>
      </c>
      <c r="B9" s="1" t="s">
        <v>26</v>
      </c>
      <c r="C9" s="1" t="s">
        <v>27</v>
      </c>
      <c r="D9" s="1" t="s">
        <v>28</v>
      </c>
      <c r="E9" s="1" t="s">
        <v>21</v>
      </c>
      <c r="F9" s="1" t="s">
        <v>34</v>
      </c>
      <c r="G9">
        <v>7356</v>
      </c>
      <c r="H9">
        <v>10</v>
      </c>
      <c r="I9">
        <v>3678</v>
      </c>
      <c r="J9">
        <v>77238</v>
      </c>
      <c r="K9" s="1" t="s">
        <v>47</v>
      </c>
      <c r="L9" s="2">
        <v>0.48472222222222222</v>
      </c>
      <c r="M9" s="1" t="s">
        <v>24</v>
      </c>
      <c r="N9">
        <v>7356</v>
      </c>
      <c r="O9">
        <v>4761904762</v>
      </c>
      <c r="P9">
        <v>3678</v>
      </c>
      <c r="Q9">
        <v>8</v>
      </c>
    </row>
    <row r="10" spans="1:17" x14ac:dyDescent="0.25">
      <c r="A10" s="1" t="s">
        <v>48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>
        <v>3626</v>
      </c>
      <c r="H10">
        <v>2</v>
      </c>
      <c r="I10">
        <v>3626</v>
      </c>
      <c r="J10">
        <v>76146</v>
      </c>
      <c r="K10" s="1" t="s">
        <v>49</v>
      </c>
      <c r="L10" s="2">
        <v>0.71875</v>
      </c>
      <c r="M10" s="1" t="s">
        <v>36</v>
      </c>
      <c r="N10">
        <v>7252</v>
      </c>
      <c r="O10">
        <v>4761904762</v>
      </c>
      <c r="P10">
        <v>3626</v>
      </c>
      <c r="Q10">
        <v>72</v>
      </c>
    </row>
    <row r="11" spans="1:17" x14ac:dyDescent="0.25">
      <c r="A11" s="1" t="s">
        <v>50</v>
      </c>
      <c r="B11" s="1" t="s">
        <v>51</v>
      </c>
      <c r="C11" s="1" t="s">
        <v>52</v>
      </c>
      <c r="D11" s="1" t="s">
        <v>20</v>
      </c>
      <c r="E11" s="1" t="s">
        <v>21</v>
      </c>
      <c r="F11" s="1" t="s">
        <v>53</v>
      </c>
      <c r="G11">
        <v>5484</v>
      </c>
      <c r="H11">
        <v>3</v>
      </c>
      <c r="I11">
        <v>8226</v>
      </c>
      <c r="J11">
        <v>172746</v>
      </c>
      <c r="K11" s="1" t="s">
        <v>54</v>
      </c>
      <c r="L11" s="2">
        <v>0.56041666666666667</v>
      </c>
      <c r="M11" s="1" t="s">
        <v>36</v>
      </c>
      <c r="N11">
        <v>16452</v>
      </c>
      <c r="O11">
        <v>4761904762</v>
      </c>
      <c r="P11">
        <v>8226</v>
      </c>
      <c r="Q11">
        <v>59</v>
      </c>
    </row>
    <row r="12" spans="1:17" x14ac:dyDescent="0.25">
      <c r="A12" s="1" t="s">
        <v>55</v>
      </c>
      <c r="B12" s="1" t="s">
        <v>51</v>
      </c>
      <c r="C12" s="1" t="s">
        <v>52</v>
      </c>
      <c r="D12" s="1" t="s">
        <v>20</v>
      </c>
      <c r="E12" s="1" t="s">
        <v>21</v>
      </c>
      <c r="F12" s="1" t="s">
        <v>56</v>
      </c>
      <c r="G12">
        <v>1448</v>
      </c>
      <c r="H12">
        <v>4</v>
      </c>
      <c r="I12">
        <v>2896</v>
      </c>
      <c r="J12">
        <v>60816</v>
      </c>
      <c r="K12" s="1" t="s">
        <v>57</v>
      </c>
      <c r="L12" s="2">
        <v>0.75486111111111109</v>
      </c>
      <c r="M12" s="1" t="s">
        <v>24</v>
      </c>
      <c r="N12">
        <v>5792</v>
      </c>
      <c r="O12">
        <v>4761904762</v>
      </c>
      <c r="P12">
        <v>2896</v>
      </c>
      <c r="Q12">
        <v>45</v>
      </c>
    </row>
    <row r="13" spans="1:17" x14ac:dyDescent="0.25">
      <c r="A13" s="1" t="s">
        <v>58</v>
      </c>
      <c r="B13" s="1" t="s">
        <v>51</v>
      </c>
      <c r="C13" s="1" t="s">
        <v>52</v>
      </c>
      <c r="D13" s="1" t="s">
        <v>20</v>
      </c>
      <c r="E13" s="1" t="s">
        <v>33</v>
      </c>
      <c r="F13" s="1" t="s">
        <v>29</v>
      </c>
      <c r="G13">
        <v>2551</v>
      </c>
      <c r="H13">
        <v>4</v>
      </c>
      <c r="I13">
        <v>5102</v>
      </c>
      <c r="J13">
        <v>107142</v>
      </c>
      <c r="K13" s="1" t="s">
        <v>59</v>
      </c>
      <c r="L13" s="2">
        <v>0.7104166666666667</v>
      </c>
      <c r="M13" s="1" t="s">
        <v>31</v>
      </c>
      <c r="N13">
        <v>10204</v>
      </c>
      <c r="O13">
        <v>4761904762</v>
      </c>
      <c r="P13">
        <v>5102</v>
      </c>
      <c r="Q13">
        <v>68</v>
      </c>
    </row>
    <row r="14" spans="1:17" x14ac:dyDescent="0.25">
      <c r="A14" s="1" t="s">
        <v>60</v>
      </c>
      <c r="B14" s="1" t="s">
        <v>18</v>
      </c>
      <c r="C14" s="1" t="s">
        <v>19</v>
      </c>
      <c r="D14" s="1" t="s">
        <v>28</v>
      </c>
      <c r="E14" s="1" t="s">
        <v>21</v>
      </c>
      <c r="F14" s="1" t="s">
        <v>29</v>
      </c>
      <c r="G14">
        <v>4695</v>
      </c>
      <c r="H14">
        <v>5</v>
      </c>
      <c r="I14">
        <v>117375</v>
      </c>
      <c r="J14">
        <v>2464875</v>
      </c>
      <c r="K14" s="1" t="s">
        <v>61</v>
      </c>
      <c r="L14" s="2">
        <v>0.43402777777777779</v>
      </c>
      <c r="M14" s="1" t="s">
        <v>24</v>
      </c>
      <c r="N14">
        <v>23475</v>
      </c>
      <c r="O14">
        <v>4761904762</v>
      </c>
      <c r="P14">
        <v>117375</v>
      </c>
      <c r="Q14">
        <v>71</v>
      </c>
    </row>
    <row r="15" spans="1:17" x14ac:dyDescent="0.25">
      <c r="A15" s="1" t="s">
        <v>62</v>
      </c>
      <c r="B15" s="1" t="s">
        <v>18</v>
      </c>
      <c r="C15" s="1" t="s">
        <v>19</v>
      </c>
      <c r="D15" s="1" t="s">
        <v>28</v>
      </c>
      <c r="E15" s="1" t="s">
        <v>33</v>
      </c>
      <c r="F15" s="1" t="s">
        <v>53</v>
      </c>
      <c r="G15">
        <v>4319</v>
      </c>
      <c r="H15">
        <v>10</v>
      </c>
      <c r="I15">
        <v>21595</v>
      </c>
      <c r="J15">
        <v>453495</v>
      </c>
      <c r="K15" s="1" t="s">
        <v>63</v>
      </c>
      <c r="L15" s="2">
        <v>0.7</v>
      </c>
      <c r="M15" s="1" t="s">
        <v>24</v>
      </c>
      <c r="N15">
        <v>4319</v>
      </c>
      <c r="O15">
        <v>4761904762</v>
      </c>
      <c r="P15">
        <v>21595</v>
      </c>
      <c r="Q15">
        <v>82</v>
      </c>
    </row>
    <row r="16" spans="1:17" x14ac:dyDescent="0.25">
      <c r="A16" s="1" t="s">
        <v>64</v>
      </c>
      <c r="B16" s="1" t="s">
        <v>18</v>
      </c>
      <c r="C16" s="1" t="s">
        <v>19</v>
      </c>
      <c r="D16" s="1" t="s">
        <v>28</v>
      </c>
      <c r="E16" s="1" t="s">
        <v>21</v>
      </c>
      <c r="F16" s="1" t="s">
        <v>22</v>
      </c>
      <c r="G16">
        <v>7138</v>
      </c>
      <c r="H16">
        <v>10</v>
      </c>
      <c r="I16">
        <v>3569</v>
      </c>
      <c r="J16">
        <v>74949</v>
      </c>
      <c r="K16" s="1" t="s">
        <v>65</v>
      </c>
      <c r="L16" s="2">
        <v>0.80625000000000002</v>
      </c>
      <c r="M16" s="1" t="s">
        <v>31</v>
      </c>
      <c r="N16">
        <v>7138</v>
      </c>
      <c r="O16">
        <v>4761904762</v>
      </c>
      <c r="P16">
        <v>3569</v>
      </c>
      <c r="Q16">
        <v>57</v>
      </c>
    </row>
    <row r="17" spans="1:17" x14ac:dyDescent="0.25">
      <c r="A17" s="1" t="s">
        <v>66</v>
      </c>
      <c r="B17" s="1" t="s">
        <v>51</v>
      </c>
      <c r="C17" s="1" t="s">
        <v>52</v>
      </c>
      <c r="D17" s="1" t="s">
        <v>20</v>
      </c>
      <c r="E17" s="1" t="s">
        <v>21</v>
      </c>
      <c r="F17" s="1" t="s">
        <v>40</v>
      </c>
      <c r="G17">
        <v>9372</v>
      </c>
      <c r="H17">
        <v>6</v>
      </c>
      <c r="I17">
        <v>28116</v>
      </c>
      <c r="J17">
        <v>590436</v>
      </c>
      <c r="K17" s="1" t="s">
        <v>67</v>
      </c>
      <c r="L17" s="2">
        <v>0.67986111111111114</v>
      </c>
      <c r="M17" s="1" t="s">
        <v>31</v>
      </c>
      <c r="N17">
        <v>56232</v>
      </c>
      <c r="O17">
        <v>4761904762</v>
      </c>
      <c r="P17">
        <v>28116</v>
      </c>
      <c r="Q17">
        <v>45</v>
      </c>
    </row>
    <row r="18" spans="1:17" x14ac:dyDescent="0.25">
      <c r="A18" s="1" t="s">
        <v>68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>
        <v>6893</v>
      </c>
      <c r="H18">
        <v>7</v>
      </c>
      <c r="I18">
        <v>241255</v>
      </c>
      <c r="J18">
        <v>5066355</v>
      </c>
      <c r="K18" s="1" t="s">
        <v>69</v>
      </c>
      <c r="L18" s="2">
        <v>0.46041666666666664</v>
      </c>
      <c r="M18" s="1" t="s">
        <v>36</v>
      </c>
      <c r="N18">
        <v>48251</v>
      </c>
      <c r="O18">
        <v>4761904762</v>
      </c>
      <c r="P18">
        <v>241255</v>
      </c>
      <c r="Q18">
        <v>46</v>
      </c>
    </row>
    <row r="19" spans="1:17" x14ac:dyDescent="0.25">
      <c r="A19" s="1" t="s">
        <v>70</v>
      </c>
      <c r="B19" s="1" t="s">
        <v>18</v>
      </c>
      <c r="C19" s="1" t="s">
        <v>19</v>
      </c>
      <c r="D19" s="1" t="s">
        <v>28</v>
      </c>
      <c r="E19" s="1" t="s">
        <v>33</v>
      </c>
      <c r="F19" s="1" t="s">
        <v>40</v>
      </c>
      <c r="G19">
        <v>7261</v>
      </c>
      <c r="H19">
        <v>6</v>
      </c>
      <c r="I19">
        <v>21783</v>
      </c>
      <c r="J19">
        <v>457443</v>
      </c>
      <c r="K19" s="1" t="s">
        <v>71</v>
      </c>
      <c r="L19" s="2">
        <v>0.44374999999999998</v>
      </c>
      <c r="M19" s="1" t="s">
        <v>36</v>
      </c>
      <c r="N19">
        <v>43566</v>
      </c>
      <c r="O19">
        <v>4761904762</v>
      </c>
      <c r="P19">
        <v>21783</v>
      </c>
      <c r="Q19">
        <v>69</v>
      </c>
    </row>
    <row r="20" spans="1:17" x14ac:dyDescent="0.25">
      <c r="A20" s="1" t="s">
        <v>72</v>
      </c>
      <c r="B20" s="1" t="s">
        <v>18</v>
      </c>
      <c r="C20" s="1" t="s">
        <v>19</v>
      </c>
      <c r="D20" s="1" t="s">
        <v>28</v>
      </c>
      <c r="E20" s="1" t="s">
        <v>33</v>
      </c>
      <c r="F20" s="1" t="s">
        <v>53</v>
      </c>
      <c r="G20">
        <v>5467</v>
      </c>
      <c r="H20">
        <v>3</v>
      </c>
      <c r="I20">
        <v>82005</v>
      </c>
      <c r="J20">
        <v>1722105</v>
      </c>
      <c r="K20" s="1" t="s">
        <v>73</v>
      </c>
      <c r="L20" s="2">
        <v>0.75</v>
      </c>
      <c r="M20" s="1" t="s">
        <v>36</v>
      </c>
      <c r="N20">
        <v>16401</v>
      </c>
      <c r="O20">
        <v>4761904762</v>
      </c>
      <c r="P20">
        <v>82005</v>
      </c>
      <c r="Q20">
        <v>86</v>
      </c>
    </row>
    <row r="21" spans="1:17" x14ac:dyDescent="0.25">
      <c r="A21" s="1" t="s">
        <v>74</v>
      </c>
      <c r="B21" s="1" t="s">
        <v>51</v>
      </c>
      <c r="C21" s="1" t="s">
        <v>52</v>
      </c>
      <c r="D21" s="1" t="s">
        <v>28</v>
      </c>
      <c r="E21" s="1" t="s">
        <v>21</v>
      </c>
      <c r="F21" s="1" t="s">
        <v>34</v>
      </c>
      <c r="G21">
        <v>403</v>
      </c>
      <c r="H21">
        <v>2</v>
      </c>
      <c r="I21">
        <v>403</v>
      </c>
      <c r="J21">
        <v>8463</v>
      </c>
      <c r="K21" s="1" t="s">
        <v>69</v>
      </c>
      <c r="L21" s="2">
        <v>0.64583333333333337</v>
      </c>
      <c r="M21" s="1" t="s">
        <v>24</v>
      </c>
      <c r="N21">
        <v>806</v>
      </c>
      <c r="O21">
        <v>4761904762</v>
      </c>
      <c r="P21">
        <v>403</v>
      </c>
      <c r="Q21">
        <v>44</v>
      </c>
    </row>
    <row r="22" spans="1:17" x14ac:dyDescent="0.25">
      <c r="A22" s="1" t="s">
        <v>75</v>
      </c>
      <c r="B22" s="1" t="s">
        <v>26</v>
      </c>
      <c r="C22" s="1" t="s">
        <v>27</v>
      </c>
      <c r="D22" s="1" t="s">
        <v>20</v>
      </c>
      <c r="E22" s="1" t="s">
        <v>33</v>
      </c>
      <c r="F22" s="1" t="s">
        <v>29</v>
      </c>
      <c r="G22">
        <v>8604</v>
      </c>
      <c r="H22">
        <v>5</v>
      </c>
      <c r="I22">
        <v>2151</v>
      </c>
      <c r="J22">
        <v>45171</v>
      </c>
      <c r="K22" s="1" t="s">
        <v>45</v>
      </c>
      <c r="L22" s="2">
        <v>0.47499999999999998</v>
      </c>
      <c r="M22" s="1" t="s">
        <v>24</v>
      </c>
      <c r="N22">
        <v>4302</v>
      </c>
      <c r="O22">
        <v>4761904762</v>
      </c>
      <c r="P22">
        <v>2151</v>
      </c>
      <c r="Q22">
        <v>48</v>
      </c>
    </row>
    <row r="23" spans="1:17" x14ac:dyDescent="0.25">
      <c r="A23" s="1" t="s">
        <v>76</v>
      </c>
      <c r="B23" s="1" t="s">
        <v>51</v>
      </c>
      <c r="C23" s="1" t="s">
        <v>52</v>
      </c>
      <c r="D23" s="1" t="s">
        <v>28</v>
      </c>
      <c r="E23" s="1" t="s">
        <v>33</v>
      </c>
      <c r="F23" s="1" t="s">
        <v>22</v>
      </c>
      <c r="G23">
        <v>8798</v>
      </c>
      <c r="H23">
        <v>3</v>
      </c>
      <c r="I23">
        <v>13197</v>
      </c>
      <c r="J23">
        <v>277137</v>
      </c>
      <c r="K23" s="1" t="s">
        <v>77</v>
      </c>
      <c r="L23" s="2">
        <v>0.44444444444444442</v>
      </c>
      <c r="M23" s="1" t="s">
        <v>24</v>
      </c>
      <c r="N23">
        <v>26394</v>
      </c>
      <c r="O23">
        <v>4761904762</v>
      </c>
      <c r="P23">
        <v>13197</v>
      </c>
      <c r="Q23">
        <v>51</v>
      </c>
    </row>
    <row r="24" spans="1:17" x14ac:dyDescent="0.25">
      <c r="A24" s="1" t="s">
        <v>78</v>
      </c>
      <c r="B24" s="1" t="s">
        <v>51</v>
      </c>
      <c r="C24" s="1" t="s">
        <v>52</v>
      </c>
      <c r="D24" s="1" t="s">
        <v>28</v>
      </c>
      <c r="E24" s="1" t="s">
        <v>33</v>
      </c>
      <c r="F24" s="1" t="s">
        <v>34</v>
      </c>
      <c r="G24">
        <v>332</v>
      </c>
      <c r="H24">
        <v>2</v>
      </c>
      <c r="I24">
        <v>332</v>
      </c>
      <c r="J24">
        <v>6972</v>
      </c>
      <c r="K24" s="1" t="s">
        <v>79</v>
      </c>
      <c r="L24" s="2">
        <v>0.51388888888888884</v>
      </c>
      <c r="M24" s="1" t="s">
        <v>36</v>
      </c>
      <c r="N24">
        <v>664</v>
      </c>
      <c r="O24">
        <v>4761904762</v>
      </c>
      <c r="P24">
        <v>332</v>
      </c>
      <c r="Q24">
        <v>44</v>
      </c>
    </row>
    <row r="25" spans="1:17" x14ac:dyDescent="0.25">
      <c r="A25" s="1" t="s">
        <v>80</v>
      </c>
      <c r="B25" s="1" t="s">
        <v>18</v>
      </c>
      <c r="C25" s="1" t="s">
        <v>19</v>
      </c>
      <c r="D25" s="1" t="s">
        <v>28</v>
      </c>
      <c r="E25" s="1" t="s">
        <v>33</v>
      </c>
      <c r="F25" s="1" t="s">
        <v>29</v>
      </c>
      <c r="G25">
        <v>3456</v>
      </c>
      <c r="H25">
        <v>5</v>
      </c>
      <c r="I25">
        <v>864</v>
      </c>
      <c r="J25">
        <v>18144</v>
      </c>
      <c r="K25" s="1" t="s">
        <v>81</v>
      </c>
      <c r="L25" s="2">
        <v>0.46875</v>
      </c>
      <c r="M25" s="1" t="s">
        <v>24</v>
      </c>
      <c r="N25">
        <v>1728</v>
      </c>
      <c r="O25">
        <v>4761904762</v>
      </c>
      <c r="P25">
        <v>864</v>
      </c>
      <c r="Q25">
        <v>99</v>
      </c>
    </row>
    <row r="26" spans="1:17" x14ac:dyDescent="0.25">
      <c r="A26" s="1" t="s">
        <v>82</v>
      </c>
      <c r="B26" s="1" t="s">
        <v>18</v>
      </c>
      <c r="C26" s="1" t="s">
        <v>19</v>
      </c>
      <c r="D26" s="1" t="s">
        <v>20</v>
      </c>
      <c r="E26" s="1" t="s">
        <v>33</v>
      </c>
      <c r="F26" s="1" t="s">
        <v>40</v>
      </c>
      <c r="G26">
        <v>8863</v>
      </c>
      <c r="H26">
        <v>3</v>
      </c>
      <c r="I26">
        <v>132945</v>
      </c>
      <c r="J26">
        <v>2791845</v>
      </c>
      <c r="K26" s="1" t="s">
        <v>83</v>
      </c>
      <c r="L26" s="2">
        <v>0.73333333333333328</v>
      </c>
      <c r="M26" s="1" t="s">
        <v>24</v>
      </c>
      <c r="N26">
        <v>26589</v>
      </c>
      <c r="O26">
        <v>4761904762</v>
      </c>
      <c r="P26">
        <v>132945</v>
      </c>
      <c r="Q26">
        <v>6</v>
      </c>
    </row>
    <row r="27" spans="1:17" x14ac:dyDescent="0.25">
      <c r="A27" s="1" t="s">
        <v>84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34</v>
      </c>
      <c r="G27">
        <v>5259</v>
      </c>
      <c r="H27">
        <v>8</v>
      </c>
      <c r="I27">
        <v>21036</v>
      </c>
      <c r="J27">
        <v>441756</v>
      </c>
      <c r="K27" s="1" t="s">
        <v>85</v>
      </c>
      <c r="L27" s="2">
        <v>0.80555555555555558</v>
      </c>
      <c r="M27" s="1" t="s">
        <v>36</v>
      </c>
      <c r="N27">
        <v>42072</v>
      </c>
      <c r="O27">
        <v>4761904762</v>
      </c>
      <c r="P27">
        <v>21036</v>
      </c>
      <c r="Q27">
        <v>85</v>
      </c>
    </row>
    <row r="28" spans="1:17" x14ac:dyDescent="0.25">
      <c r="A28" s="1" t="s">
        <v>86</v>
      </c>
      <c r="B28" s="1" t="s">
        <v>51</v>
      </c>
      <c r="C28" s="1" t="s">
        <v>52</v>
      </c>
      <c r="D28" s="1" t="s">
        <v>28</v>
      </c>
      <c r="E28" s="1" t="s">
        <v>33</v>
      </c>
      <c r="F28" s="1" t="s">
        <v>56</v>
      </c>
      <c r="G28">
        <v>3352</v>
      </c>
      <c r="H28">
        <v>1</v>
      </c>
      <c r="I28">
        <v>1676</v>
      </c>
      <c r="J28">
        <v>35196</v>
      </c>
      <c r="K28" s="1" t="s">
        <v>41</v>
      </c>
      <c r="L28" s="2">
        <v>0.64652777777777781</v>
      </c>
      <c r="M28" s="1" t="s">
        <v>31</v>
      </c>
      <c r="N28">
        <v>3352</v>
      </c>
      <c r="O28">
        <v>4761904762</v>
      </c>
      <c r="P28">
        <v>1676</v>
      </c>
      <c r="Q28">
        <v>67</v>
      </c>
    </row>
    <row r="29" spans="1:17" x14ac:dyDescent="0.25">
      <c r="A29" s="1" t="s">
        <v>87</v>
      </c>
      <c r="B29" s="1" t="s">
        <v>18</v>
      </c>
      <c r="C29" s="1" t="s">
        <v>19</v>
      </c>
      <c r="D29" s="1" t="s">
        <v>28</v>
      </c>
      <c r="E29" s="1" t="s">
        <v>21</v>
      </c>
      <c r="F29" s="1" t="s">
        <v>56</v>
      </c>
      <c r="G29">
        <v>8767</v>
      </c>
      <c r="H29">
        <v>2</v>
      </c>
      <c r="I29">
        <v>8767</v>
      </c>
      <c r="J29">
        <v>184107</v>
      </c>
      <c r="K29" s="1" t="s">
        <v>88</v>
      </c>
      <c r="L29" s="2">
        <v>0.51180555555555551</v>
      </c>
      <c r="M29" s="1" t="s">
        <v>36</v>
      </c>
      <c r="N29">
        <v>17534</v>
      </c>
      <c r="O29">
        <v>4761904762</v>
      </c>
      <c r="P29">
        <v>8767</v>
      </c>
      <c r="Q29">
        <v>77</v>
      </c>
    </row>
    <row r="30" spans="1:17" x14ac:dyDescent="0.25">
      <c r="A30" s="1" t="s">
        <v>89</v>
      </c>
      <c r="B30" s="1" t="s">
        <v>51</v>
      </c>
      <c r="C30" s="1" t="s">
        <v>52</v>
      </c>
      <c r="D30" s="1" t="s">
        <v>28</v>
      </c>
      <c r="E30" s="1" t="s">
        <v>21</v>
      </c>
      <c r="F30" s="1" t="s">
        <v>53</v>
      </c>
      <c r="G30">
        <v>8836</v>
      </c>
      <c r="H30">
        <v>5</v>
      </c>
      <c r="I30">
        <v>2209</v>
      </c>
      <c r="J30">
        <v>46389</v>
      </c>
      <c r="K30" s="1" t="s">
        <v>90</v>
      </c>
      <c r="L30" s="2">
        <v>0.82499999999999996</v>
      </c>
      <c r="M30" s="1" t="s">
        <v>31</v>
      </c>
      <c r="N30">
        <v>4418</v>
      </c>
      <c r="O30">
        <v>4761904762</v>
      </c>
      <c r="P30">
        <v>2209</v>
      </c>
      <c r="Q30">
        <v>96</v>
      </c>
    </row>
    <row r="31" spans="1:17" x14ac:dyDescent="0.25">
      <c r="A31" s="1" t="s">
        <v>91</v>
      </c>
      <c r="B31" s="1" t="s">
        <v>18</v>
      </c>
      <c r="C31" s="1" t="s">
        <v>19</v>
      </c>
      <c r="D31" s="1" t="s">
        <v>28</v>
      </c>
      <c r="E31" s="1" t="s">
        <v>33</v>
      </c>
      <c r="F31" s="1" t="s">
        <v>22</v>
      </c>
      <c r="G31">
        <v>2489</v>
      </c>
      <c r="H31">
        <v>9</v>
      </c>
      <c r="I31">
        <v>112005</v>
      </c>
      <c r="J31">
        <v>2352105</v>
      </c>
      <c r="K31" s="1" t="s">
        <v>79</v>
      </c>
      <c r="L31" s="2">
        <v>0.65</v>
      </c>
      <c r="M31" s="1" t="s">
        <v>31</v>
      </c>
      <c r="N31">
        <v>22401</v>
      </c>
      <c r="O31">
        <v>4761904762</v>
      </c>
      <c r="P31">
        <v>112005</v>
      </c>
      <c r="Q31">
        <v>74</v>
      </c>
    </row>
    <row r="32" spans="1:17" x14ac:dyDescent="0.25">
      <c r="A32" s="1" t="s">
        <v>92</v>
      </c>
      <c r="B32" s="1" t="s">
        <v>51</v>
      </c>
      <c r="C32" s="1" t="s">
        <v>52</v>
      </c>
      <c r="D32" s="1" t="s">
        <v>28</v>
      </c>
      <c r="E32" s="1" t="s">
        <v>33</v>
      </c>
      <c r="F32" s="1" t="s">
        <v>56</v>
      </c>
      <c r="G32">
        <v>9413</v>
      </c>
      <c r="H32">
        <v>5</v>
      </c>
      <c r="I32">
        <v>235325</v>
      </c>
      <c r="J32">
        <v>4941825</v>
      </c>
      <c r="K32" s="1" t="s">
        <v>45</v>
      </c>
      <c r="L32" s="2">
        <v>0.81874999999999998</v>
      </c>
      <c r="M32" s="1" t="s">
        <v>36</v>
      </c>
      <c r="N32">
        <v>47065</v>
      </c>
      <c r="O32">
        <v>4761904762</v>
      </c>
      <c r="P32">
        <v>235325</v>
      </c>
      <c r="Q32">
        <v>48</v>
      </c>
    </row>
    <row r="33" spans="1:17" x14ac:dyDescent="0.25">
      <c r="A33" s="1" t="s">
        <v>93</v>
      </c>
      <c r="B33" s="1" t="s">
        <v>51</v>
      </c>
      <c r="C33" s="1" t="s">
        <v>52</v>
      </c>
      <c r="D33" s="1" t="s">
        <v>20</v>
      </c>
      <c r="E33" s="1" t="s">
        <v>33</v>
      </c>
      <c r="F33" s="1" t="s">
        <v>40</v>
      </c>
      <c r="G33">
        <v>7807</v>
      </c>
      <c r="H33">
        <v>9</v>
      </c>
      <c r="I33">
        <v>351315</v>
      </c>
      <c r="J33">
        <v>7377615</v>
      </c>
      <c r="K33" s="1" t="s">
        <v>94</v>
      </c>
      <c r="L33" s="2">
        <v>0.52986111111111112</v>
      </c>
      <c r="M33" s="1" t="s">
        <v>31</v>
      </c>
      <c r="N33">
        <v>70263</v>
      </c>
      <c r="O33">
        <v>4761904762</v>
      </c>
      <c r="P33">
        <v>351315</v>
      </c>
      <c r="Q33">
        <v>45</v>
      </c>
    </row>
    <row r="34" spans="1:17" x14ac:dyDescent="0.25">
      <c r="A34" s="1" t="s">
        <v>95</v>
      </c>
      <c r="B34" s="1" t="s">
        <v>51</v>
      </c>
      <c r="C34" s="1" t="s">
        <v>52</v>
      </c>
      <c r="D34" s="1" t="s">
        <v>28</v>
      </c>
      <c r="E34" s="1" t="s">
        <v>33</v>
      </c>
      <c r="F34" s="1" t="s">
        <v>40</v>
      </c>
      <c r="G34">
        <v>8378</v>
      </c>
      <c r="H34">
        <v>8</v>
      </c>
      <c r="I34">
        <v>33512</v>
      </c>
      <c r="J34">
        <v>703752</v>
      </c>
      <c r="K34" s="1" t="s">
        <v>49</v>
      </c>
      <c r="L34" s="2">
        <v>0.61736111111111114</v>
      </c>
      <c r="M34" s="1" t="s">
        <v>31</v>
      </c>
      <c r="N34">
        <v>67024</v>
      </c>
      <c r="O34">
        <v>4761904762</v>
      </c>
      <c r="P34">
        <v>33512</v>
      </c>
      <c r="Q34">
        <v>51</v>
      </c>
    </row>
    <row r="35" spans="1:17" x14ac:dyDescent="0.25">
      <c r="A35" s="1" t="s">
        <v>96</v>
      </c>
      <c r="B35" s="1" t="s">
        <v>18</v>
      </c>
      <c r="C35" s="1" t="s">
        <v>19</v>
      </c>
      <c r="D35" s="1" t="s">
        <v>28</v>
      </c>
      <c r="E35" s="1" t="s">
        <v>33</v>
      </c>
      <c r="F35" s="1" t="s">
        <v>22</v>
      </c>
      <c r="G35">
        <v>9658</v>
      </c>
      <c r="H35">
        <v>2</v>
      </c>
      <c r="I35">
        <v>9658</v>
      </c>
      <c r="J35">
        <v>202818</v>
      </c>
      <c r="K35" s="1" t="s">
        <v>79</v>
      </c>
      <c r="L35" s="2">
        <v>0.42499999999999999</v>
      </c>
      <c r="M35" s="1" t="s">
        <v>36</v>
      </c>
      <c r="N35">
        <v>19316</v>
      </c>
      <c r="O35">
        <v>4761904762</v>
      </c>
      <c r="P35">
        <v>9658</v>
      </c>
      <c r="Q35">
        <v>51</v>
      </c>
    </row>
    <row r="36" spans="1:17" x14ac:dyDescent="0.25">
      <c r="A36" s="1" t="s">
        <v>97</v>
      </c>
      <c r="B36" s="1" t="s">
        <v>26</v>
      </c>
      <c r="C36" s="1" t="s">
        <v>27</v>
      </c>
      <c r="D36" s="1" t="s">
        <v>20</v>
      </c>
      <c r="E36" s="1" t="s">
        <v>21</v>
      </c>
      <c r="F36" s="1" t="s">
        <v>53</v>
      </c>
      <c r="G36">
        <v>9942</v>
      </c>
      <c r="H36">
        <v>4</v>
      </c>
      <c r="I36">
        <v>19884</v>
      </c>
      <c r="J36">
        <v>417564</v>
      </c>
      <c r="K36" s="1" t="s">
        <v>57</v>
      </c>
      <c r="L36" s="2">
        <v>0.44583333333333336</v>
      </c>
      <c r="M36" s="1" t="s">
        <v>24</v>
      </c>
      <c r="N36">
        <v>39768</v>
      </c>
      <c r="O36">
        <v>4761904762</v>
      </c>
      <c r="P36">
        <v>19884</v>
      </c>
      <c r="Q36">
        <v>75</v>
      </c>
    </row>
    <row r="37" spans="1:17" x14ac:dyDescent="0.25">
      <c r="A37" s="1" t="s">
        <v>98</v>
      </c>
      <c r="B37" s="1" t="s">
        <v>26</v>
      </c>
      <c r="C37" s="1" t="s">
        <v>27</v>
      </c>
      <c r="D37" s="1" t="s">
        <v>20</v>
      </c>
      <c r="E37" s="1" t="s">
        <v>21</v>
      </c>
      <c r="F37" s="1" t="s">
        <v>40</v>
      </c>
      <c r="G37">
        <v>6812</v>
      </c>
      <c r="H37">
        <v>1</v>
      </c>
      <c r="I37">
        <v>3406</v>
      </c>
      <c r="J37">
        <v>71526</v>
      </c>
      <c r="K37" s="1" t="s">
        <v>99</v>
      </c>
      <c r="L37" s="2">
        <v>0.51944444444444449</v>
      </c>
      <c r="M37" s="1" t="s">
        <v>24</v>
      </c>
      <c r="N37">
        <v>6812</v>
      </c>
      <c r="O37">
        <v>4761904762</v>
      </c>
      <c r="P37">
        <v>3406</v>
      </c>
      <c r="Q37">
        <v>68</v>
      </c>
    </row>
    <row r="38" spans="1:17" x14ac:dyDescent="0.25">
      <c r="A38" s="1" t="s">
        <v>100</v>
      </c>
      <c r="B38" s="1" t="s">
        <v>18</v>
      </c>
      <c r="C38" s="1" t="s">
        <v>19</v>
      </c>
      <c r="D38" s="1" t="s">
        <v>20</v>
      </c>
      <c r="E38" s="1" t="s">
        <v>33</v>
      </c>
      <c r="F38" s="1" t="s">
        <v>40</v>
      </c>
      <c r="G38">
        <v>6262</v>
      </c>
      <c r="H38">
        <v>5</v>
      </c>
      <c r="I38">
        <v>15655</v>
      </c>
      <c r="J38">
        <v>328755</v>
      </c>
      <c r="K38" s="1" t="s">
        <v>88</v>
      </c>
      <c r="L38" s="2">
        <v>0.80208333333333337</v>
      </c>
      <c r="M38" s="1" t="s">
        <v>24</v>
      </c>
      <c r="N38">
        <v>3131</v>
      </c>
      <c r="O38">
        <v>4761904762</v>
      </c>
      <c r="P38">
        <v>15655</v>
      </c>
      <c r="Q38">
        <v>7</v>
      </c>
    </row>
    <row r="39" spans="1:17" x14ac:dyDescent="0.25">
      <c r="A39" s="1" t="s">
        <v>101</v>
      </c>
      <c r="B39" s="1" t="s">
        <v>18</v>
      </c>
      <c r="C39" s="1" t="s">
        <v>19</v>
      </c>
      <c r="D39" s="1" t="s">
        <v>28</v>
      </c>
      <c r="E39" s="1" t="s">
        <v>21</v>
      </c>
      <c r="F39" s="1" t="s">
        <v>29</v>
      </c>
      <c r="G39">
        <v>6088</v>
      </c>
      <c r="H39">
        <v>9</v>
      </c>
      <c r="I39">
        <v>27396</v>
      </c>
      <c r="J39">
        <v>575316</v>
      </c>
      <c r="K39" s="1" t="s">
        <v>67</v>
      </c>
      <c r="L39" s="2">
        <v>0.72013888888888888</v>
      </c>
      <c r="M39" s="1" t="s">
        <v>24</v>
      </c>
      <c r="N39">
        <v>54792</v>
      </c>
      <c r="O39">
        <v>4761904762</v>
      </c>
      <c r="P39">
        <v>27396</v>
      </c>
      <c r="Q39">
        <v>47</v>
      </c>
    </row>
    <row r="40" spans="1:17" x14ac:dyDescent="0.25">
      <c r="A40" s="1" t="s">
        <v>102</v>
      </c>
      <c r="B40" s="1" t="s">
        <v>26</v>
      </c>
      <c r="C40" s="1" t="s">
        <v>27</v>
      </c>
      <c r="D40" s="1" t="s">
        <v>28</v>
      </c>
      <c r="E40" s="1" t="s">
        <v>21</v>
      </c>
      <c r="F40" s="1" t="s">
        <v>22</v>
      </c>
      <c r="G40">
        <v>5492</v>
      </c>
      <c r="H40">
        <v>8</v>
      </c>
      <c r="I40">
        <v>21968</v>
      </c>
      <c r="J40">
        <v>461328</v>
      </c>
      <c r="K40" s="1" t="s">
        <v>103</v>
      </c>
      <c r="L40" s="2">
        <v>0.55833333333333335</v>
      </c>
      <c r="M40" s="1" t="s">
        <v>24</v>
      </c>
      <c r="N40">
        <v>43936</v>
      </c>
      <c r="O40">
        <v>4761904762</v>
      </c>
      <c r="P40">
        <v>21968</v>
      </c>
      <c r="Q40">
        <v>76</v>
      </c>
    </row>
    <row r="41" spans="1:17" x14ac:dyDescent="0.25">
      <c r="A41" s="1" t="s">
        <v>104</v>
      </c>
      <c r="B41" s="1" t="s">
        <v>51</v>
      </c>
      <c r="C41" s="1" t="s">
        <v>52</v>
      </c>
      <c r="D41" s="1" t="s">
        <v>20</v>
      </c>
      <c r="E41" s="1" t="s">
        <v>33</v>
      </c>
      <c r="F41" s="1" t="s">
        <v>34</v>
      </c>
      <c r="G41">
        <v>3012</v>
      </c>
      <c r="H41">
        <v>8</v>
      </c>
      <c r="I41">
        <v>12048</v>
      </c>
      <c r="J41">
        <v>253008</v>
      </c>
      <c r="K41" s="1" t="s">
        <v>35</v>
      </c>
      <c r="L41" s="2">
        <v>0.54236111111111107</v>
      </c>
      <c r="M41" s="1" t="s">
        <v>31</v>
      </c>
      <c r="N41">
        <v>24096</v>
      </c>
      <c r="O41">
        <v>4761904762</v>
      </c>
      <c r="P41">
        <v>12048</v>
      </c>
      <c r="Q41">
        <v>77</v>
      </c>
    </row>
    <row r="42" spans="1:17" x14ac:dyDescent="0.25">
      <c r="A42" s="1" t="s">
        <v>105</v>
      </c>
      <c r="B42" s="1" t="s">
        <v>51</v>
      </c>
      <c r="C42" s="1" t="s">
        <v>52</v>
      </c>
      <c r="D42" s="1" t="s">
        <v>20</v>
      </c>
      <c r="E42" s="1" t="s">
        <v>21</v>
      </c>
      <c r="F42" s="1" t="s">
        <v>34</v>
      </c>
      <c r="G42">
        <v>8672</v>
      </c>
      <c r="H42">
        <v>1</v>
      </c>
      <c r="I42">
        <v>4336</v>
      </c>
      <c r="J42">
        <v>91056</v>
      </c>
      <c r="K42" s="1" t="s">
        <v>106</v>
      </c>
      <c r="L42" s="2">
        <v>0.78125</v>
      </c>
      <c r="M42" s="1" t="s">
        <v>24</v>
      </c>
      <c r="N42">
        <v>8672</v>
      </c>
      <c r="O42">
        <v>4761904762</v>
      </c>
      <c r="P42">
        <v>4336</v>
      </c>
      <c r="Q42">
        <v>79</v>
      </c>
    </row>
    <row r="43" spans="1:17" x14ac:dyDescent="0.25">
      <c r="A43" s="1" t="s">
        <v>107</v>
      </c>
      <c r="B43" s="1" t="s">
        <v>26</v>
      </c>
      <c r="C43" s="1" t="s">
        <v>27</v>
      </c>
      <c r="D43" s="1" t="s">
        <v>20</v>
      </c>
      <c r="E43" s="1" t="s">
        <v>33</v>
      </c>
      <c r="F43" s="1" t="s">
        <v>34</v>
      </c>
      <c r="G43">
        <v>5611</v>
      </c>
      <c r="H43">
        <v>2</v>
      </c>
      <c r="I43">
        <v>5611</v>
      </c>
      <c r="J43">
        <v>117831</v>
      </c>
      <c r="K43" s="1" t="s">
        <v>108</v>
      </c>
      <c r="L43" s="2">
        <v>0.42430555555555555</v>
      </c>
      <c r="M43" s="1" t="s">
        <v>31</v>
      </c>
      <c r="N43">
        <v>11222</v>
      </c>
      <c r="O43">
        <v>4761904762</v>
      </c>
      <c r="P43">
        <v>5611</v>
      </c>
      <c r="Q43">
        <v>63</v>
      </c>
    </row>
    <row r="44" spans="1:17" x14ac:dyDescent="0.25">
      <c r="A44" s="1" t="s">
        <v>109</v>
      </c>
      <c r="B44" s="1" t="s">
        <v>51</v>
      </c>
      <c r="C44" s="1" t="s">
        <v>52</v>
      </c>
      <c r="D44" s="1" t="s">
        <v>20</v>
      </c>
      <c r="E44" s="1" t="s">
        <v>21</v>
      </c>
      <c r="F44" s="1" t="s">
        <v>40</v>
      </c>
      <c r="G44">
        <v>6912</v>
      </c>
      <c r="H44">
        <v>6</v>
      </c>
      <c r="I44">
        <v>20736</v>
      </c>
      <c r="J44">
        <v>435456</v>
      </c>
      <c r="K44" s="1" t="s">
        <v>41</v>
      </c>
      <c r="L44" s="2">
        <v>0.54374999999999996</v>
      </c>
      <c r="M44" s="1" t="s">
        <v>31</v>
      </c>
      <c r="N44">
        <v>41472</v>
      </c>
      <c r="O44">
        <v>4761904762</v>
      </c>
      <c r="P44">
        <v>20736</v>
      </c>
      <c r="Q44">
        <v>56</v>
      </c>
    </row>
    <row r="45" spans="1:17" x14ac:dyDescent="0.25">
      <c r="A45" s="1" t="s">
        <v>110</v>
      </c>
      <c r="B45" s="1" t="s">
        <v>26</v>
      </c>
      <c r="C45" s="1" t="s">
        <v>27</v>
      </c>
      <c r="D45" s="1" t="s">
        <v>20</v>
      </c>
      <c r="E45" s="1" t="s">
        <v>21</v>
      </c>
      <c r="F45" s="1" t="s">
        <v>53</v>
      </c>
      <c r="G45">
        <v>987</v>
      </c>
      <c r="H45">
        <v>8</v>
      </c>
      <c r="I45">
        <v>3948</v>
      </c>
      <c r="J45">
        <v>82908</v>
      </c>
      <c r="K45" s="1" t="s">
        <v>111</v>
      </c>
      <c r="L45" s="2">
        <v>0.86041666666666672</v>
      </c>
      <c r="M45" s="1" t="s">
        <v>31</v>
      </c>
      <c r="N45">
        <v>7896</v>
      </c>
      <c r="O45">
        <v>4761904762</v>
      </c>
      <c r="P45">
        <v>3948</v>
      </c>
      <c r="Q45">
        <v>76</v>
      </c>
    </row>
    <row r="46" spans="1:17" x14ac:dyDescent="0.25">
      <c r="A46" s="1" t="s">
        <v>112</v>
      </c>
      <c r="B46" s="1" t="s">
        <v>26</v>
      </c>
      <c r="C46" s="1" t="s">
        <v>27</v>
      </c>
      <c r="D46" s="1" t="s">
        <v>20</v>
      </c>
      <c r="E46" s="1" t="s">
        <v>33</v>
      </c>
      <c r="F46" s="1" t="s">
        <v>22</v>
      </c>
      <c r="G46">
        <v>1537</v>
      </c>
      <c r="H46">
        <v>2</v>
      </c>
      <c r="I46">
        <v>1537</v>
      </c>
      <c r="J46">
        <v>32277</v>
      </c>
      <c r="K46" s="1" t="s">
        <v>113</v>
      </c>
      <c r="L46" s="2">
        <v>0.82430555555555551</v>
      </c>
      <c r="M46" s="1" t="s">
        <v>31</v>
      </c>
      <c r="N46">
        <v>3074</v>
      </c>
      <c r="O46">
        <v>4761904762</v>
      </c>
      <c r="P46">
        <v>1537</v>
      </c>
      <c r="Q46">
        <v>72</v>
      </c>
    </row>
    <row r="47" spans="1:17" x14ac:dyDescent="0.25">
      <c r="A47" s="1" t="s">
        <v>114</v>
      </c>
      <c r="B47" s="1" t="s">
        <v>51</v>
      </c>
      <c r="C47" s="1" t="s">
        <v>52</v>
      </c>
      <c r="D47" s="1" t="s">
        <v>20</v>
      </c>
      <c r="E47" s="1" t="s">
        <v>21</v>
      </c>
      <c r="F47" s="1" t="s">
        <v>29</v>
      </c>
      <c r="G47">
        <v>9396</v>
      </c>
      <c r="H47">
        <v>4</v>
      </c>
      <c r="I47">
        <v>18792</v>
      </c>
      <c r="J47">
        <v>394632</v>
      </c>
      <c r="K47" s="1" t="s">
        <v>59</v>
      </c>
      <c r="L47" s="2">
        <v>0.75</v>
      </c>
      <c r="M47" s="1" t="s">
        <v>31</v>
      </c>
      <c r="N47">
        <v>37584</v>
      </c>
      <c r="O47">
        <v>4761904762</v>
      </c>
      <c r="P47">
        <v>18792</v>
      </c>
      <c r="Q47">
        <v>95</v>
      </c>
    </row>
    <row r="48" spans="1:17" x14ac:dyDescent="0.25">
      <c r="A48" s="1" t="s">
        <v>115</v>
      </c>
      <c r="B48" s="1" t="s">
        <v>51</v>
      </c>
      <c r="C48" s="1" t="s">
        <v>52</v>
      </c>
      <c r="D48" s="1" t="s">
        <v>20</v>
      </c>
      <c r="E48" s="1" t="s">
        <v>33</v>
      </c>
      <c r="F48" s="1" t="s">
        <v>22</v>
      </c>
      <c r="G48">
        <v>5669</v>
      </c>
      <c r="H48">
        <v>9</v>
      </c>
      <c r="I48">
        <v>255105</v>
      </c>
      <c r="J48">
        <v>5357205</v>
      </c>
      <c r="K48" s="1" t="s">
        <v>116</v>
      </c>
      <c r="L48" s="2">
        <v>0.72499999999999998</v>
      </c>
      <c r="M48" s="1" t="s">
        <v>36</v>
      </c>
      <c r="N48">
        <v>51021</v>
      </c>
      <c r="O48">
        <v>4761904762</v>
      </c>
      <c r="P48">
        <v>255105</v>
      </c>
      <c r="Q48">
        <v>84</v>
      </c>
    </row>
    <row r="49" spans="1:17" x14ac:dyDescent="0.25">
      <c r="A49" s="1" t="s">
        <v>117</v>
      </c>
      <c r="B49" s="1" t="s">
        <v>51</v>
      </c>
      <c r="C49" s="1" t="s">
        <v>52</v>
      </c>
      <c r="D49" s="1" t="s">
        <v>20</v>
      </c>
      <c r="E49" s="1" t="s">
        <v>21</v>
      </c>
      <c r="F49" s="1" t="s">
        <v>53</v>
      </c>
      <c r="G49">
        <v>2001</v>
      </c>
      <c r="H49">
        <v>9</v>
      </c>
      <c r="I49">
        <v>90045</v>
      </c>
      <c r="J49">
        <v>1890945</v>
      </c>
      <c r="K49" s="1" t="s">
        <v>57</v>
      </c>
      <c r="L49" s="2">
        <v>0.65763888888888888</v>
      </c>
      <c r="M49" s="1" t="s">
        <v>24</v>
      </c>
      <c r="N49">
        <v>18009</v>
      </c>
      <c r="O49">
        <v>4761904762</v>
      </c>
      <c r="P49">
        <v>90045</v>
      </c>
      <c r="Q49">
        <v>41</v>
      </c>
    </row>
    <row r="50" spans="1:17" x14ac:dyDescent="0.25">
      <c r="A50" s="1" t="s">
        <v>118</v>
      </c>
      <c r="B50" s="1" t="s">
        <v>51</v>
      </c>
      <c r="C50" s="1" t="s">
        <v>52</v>
      </c>
      <c r="D50" s="1" t="s">
        <v>20</v>
      </c>
      <c r="E50" s="1" t="s">
        <v>33</v>
      </c>
      <c r="F50" s="1" t="s">
        <v>29</v>
      </c>
      <c r="G50">
        <v>1893</v>
      </c>
      <c r="H50">
        <v>6</v>
      </c>
      <c r="I50">
        <v>5679</v>
      </c>
      <c r="J50">
        <v>119259</v>
      </c>
      <c r="K50" s="1" t="s">
        <v>119</v>
      </c>
      <c r="L50" s="2">
        <v>0.53125</v>
      </c>
      <c r="M50" s="1" t="s">
        <v>36</v>
      </c>
      <c r="N50">
        <v>11358</v>
      </c>
      <c r="O50">
        <v>4761904762</v>
      </c>
      <c r="P50">
        <v>5679</v>
      </c>
      <c r="Q50">
        <v>81</v>
      </c>
    </row>
    <row r="51" spans="1:17" x14ac:dyDescent="0.25">
      <c r="A51" s="1" t="s">
        <v>120</v>
      </c>
      <c r="B51" s="1" t="s">
        <v>26</v>
      </c>
      <c r="C51" s="1" t="s">
        <v>27</v>
      </c>
      <c r="D51" s="1" t="s">
        <v>20</v>
      </c>
      <c r="E51" s="1" t="s">
        <v>21</v>
      </c>
      <c r="F51" s="1" t="s">
        <v>56</v>
      </c>
      <c r="G51">
        <v>8263</v>
      </c>
      <c r="H51">
        <v>10</v>
      </c>
      <c r="I51">
        <v>41315</v>
      </c>
      <c r="J51">
        <v>867615</v>
      </c>
      <c r="K51" s="1" t="s">
        <v>121</v>
      </c>
      <c r="L51" s="2">
        <v>0.71388888888888891</v>
      </c>
      <c r="M51" s="1" t="s">
        <v>24</v>
      </c>
      <c r="N51">
        <v>8263</v>
      </c>
      <c r="O51">
        <v>4761904762</v>
      </c>
      <c r="P51">
        <v>41315</v>
      </c>
      <c r="Q51">
        <v>79</v>
      </c>
    </row>
    <row r="52" spans="1:17" x14ac:dyDescent="0.25">
      <c r="A52" s="1" t="s">
        <v>122</v>
      </c>
      <c r="B52" s="1" t="s">
        <v>26</v>
      </c>
      <c r="C52" s="1" t="s">
        <v>27</v>
      </c>
      <c r="D52" s="1" t="s">
        <v>20</v>
      </c>
      <c r="E52" s="1" t="s">
        <v>33</v>
      </c>
      <c r="F52" s="1" t="s">
        <v>53</v>
      </c>
      <c r="G52">
        <v>914</v>
      </c>
      <c r="H52">
        <v>7</v>
      </c>
      <c r="I52">
        <v>3199</v>
      </c>
      <c r="J52">
        <v>67179</v>
      </c>
      <c r="K52" s="1" t="s">
        <v>123</v>
      </c>
      <c r="L52" s="2">
        <v>0.42986111111111114</v>
      </c>
      <c r="M52" s="1" t="s">
        <v>31</v>
      </c>
      <c r="N52">
        <v>6398</v>
      </c>
      <c r="O52">
        <v>4761904762</v>
      </c>
      <c r="P52">
        <v>3199</v>
      </c>
      <c r="Q52">
        <v>95</v>
      </c>
    </row>
    <row r="53" spans="1:17" x14ac:dyDescent="0.25">
      <c r="A53" s="1" t="s">
        <v>124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53</v>
      </c>
      <c r="G53">
        <v>4459</v>
      </c>
      <c r="H53">
        <v>5</v>
      </c>
      <c r="I53">
        <v>111475</v>
      </c>
      <c r="J53">
        <v>2340975</v>
      </c>
      <c r="K53" s="1" t="s">
        <v>119</v>
      </c>
      <c r="L53" s="2">
        <v>0.63194444444444442</v>
      </c>
      <c r="M53" s="1" t="s">
        <v>31</v>
      </c>
      <c r="N53">
        <v>22295</v>
      </c>
      <c r="O53">
        <v>4761904762</v>
      </c>
      <c r="P53">
        <v>111475</v>
      </c>
      <c r="Q53">
        <v>85</v>
      </c>
    </row>
    <row r="54" spans="1:17" x14ac:dyDescent="0.25">
      <c r="A54" s="1" t="s">
        <v>125</v>
      </c>
      <c r="B54" s="1" t="s">
        <v>51</v>
      </c>
      <c r="C54" s="1" t="s">
        <v>52</v>
      </c>
      <c r="D54" s="1" t="s">
        <v>20</v>
      </c>
      <c r="E54" s="1" t="s">
        <v>21</v>
      </c>
      <c r="F54" s="1" t="s">
        <v>56</v>
      </c>
      <c r="G54">
        <v>1787</v>
      </c>
      <c r="H54">
        <v>4</v>
      </c>
      <c r="I54">
        <v>3574</v>
      </c>
      <c r="J54">
        <v>75054</v>
      </c>
      <c r="K54" s="1" t="s">
        <v>85</v>
      </c>
      <c r="L54" s="2">
        <v>0.61250000000000004</v>
      </c>
      <c r="M54" s="1" t="s">
        <v>24</v>
      </c>
      <c r="N54">
        <v>7148</v>
      </c>
      <c r="O54">
        <v>4761904762</v>
      </c>
      <c r="P54">
        <v>3574</v>
      </c>
      <c r="Q54">
        <v>65</v>
      </c>
    </row>
    <row r="55" spans="1:17" x14ac:dyDescent="0.25">
      <c r="A55" s="1" t="s">
        <v>126</v>
      </c>
      <c r="B55" s="1" t="s">
        <v>26</v>
      </c>
      <c r="C55" s="1" t="s">
        <v>27</v>
      </c>
      <c r="D55" s="1" t="s">
        <v>20</v>
      </c>
      <c r="E55" s="1" t="s">
        <v>33</v>
      </c>
      <c r="F55" s="1" t="s">
        <v>56</v>
      </c>
      <c r="G55">
        <v>1543</v>
      </c>
      <c r="H55">
        <v>1</v>
      </c>
      <c r="I55">
        <v>7715</v>
      </c>
      <c r="J55">
        <v>162015</v>
      </c>
      <c r="K55" s="1" t="s">
        <v>90</v>
      </c>
      <c r="L55" s="2">
        <v>0.65694444444444444</v>
      </c>
      <c r="M55" s="1" t="s">
        <v>36</v>
      </c>
      <c r="N55">
        <v>1543</v>
      </c>
      <c r="O55">
        <v>4761904762</v>
      </c>
      <c r="P55">
        <v>7715</v>
      </c>
      <c r="Q55">
        <v>61</v>
      </c>
    </row>
    <row r="56" spans="1:17" x14ac:dyDescent="0.25">
      <c r="A56" s="1" t="s">
        <v>127</v>
      </c>
      <c r="B56" s="1" t="s">
        <v>51</v>
      </c>
      <c r="C56" s="1" t="s">
        <v>52</v>
      </c>
      <c r="D56" s="1" t="s">
        <v>28</v>
      </c>
      <c r="E56" s="1" t="s">
        <v>33</v>
      </c>
      <c r="F56" s="1" t="s">
        <v>34</v>
      </c>
      <c r="G56">
        <v>1616</v>
      </c>
      <c r="H56">
        <v>2</v>
      </c>
      <c r="I56">
        <v>1616</v>
      </c>
      <c r="J56">
        <v>33936</v>
      </c>
      <c r="K56" s="1" t="s">
        <v>128</v>
      </c>
      <c r="L56" s="2">
        <v>0.49236111111111114</v>
      </c>
      <c r="M56" s="1" t="s">
        <v>24</v>
      </c>
      <c r="N56">
        <v>3232</v>
      </c>
      <c r="O56">
        <v>4761904762</v>
      </c>
      <c r="P56">
        <v>1616</v>
      </c>
      <c r="Q56">
        <v>65</v>
      </c>
    </row>
    <row r="57" spans="1:17" x14ac:dyDescent="0.25">
      <c r="A57" s="1" t="s">
        <v>129</v>
      </c>
      <c r="B57" s="1" t="s">
        <v>26</v>
      </c>
      <c r="C57" s="1" t="s">
        <v>27</v>
      </c>
      <c r="D57" s="1" t="s">
        <v>28</v>
      </c>
      <c r="E57" s="1" t="s">
        <v>21</v>
      </c>
      <c r="F57" s="1" t="s">
        <v>29</v>
      </c>
      <c r="G57">
        <v>8598</v>
      </c>
      <c r="H57">
        <v>8</v>
      </c>
      <c r="I57">
        <v>34392</v>
      </c>
      <c r="J57">
        <v>722232</v>
      </c>
      <c r="K57" s="1" t="s">
        <v>130</v>
      </c>
      <c r="L57" s="2">
        <v>0.79236111111111107</v>
      </c>
      <c r="M57" s="1" t="s">
        <v>31</v>
      </c>
      <c r="N57">
        <v>68784</v>
      </c>
      <c r="O57">
        <v>4761904762</v>
      </c>
      <c r="P57">
        <v>34392</v>
      </c>
      <c r="Q57">
        <v>82</v>
      </c>
    </row>
    <row r="58" spans="1:17" x14ac:dyDescent="0.25">
      <c r="A58" s="1" t="s">
        <v>131</v>
      </c>
      <c r="B58" s="1" t="s">
        <v>18</v>
      </c>
      <c r="C58" s="1" t="s">
        <v>19</v>
      </c>
      <c r="D58" s="1" t="s">
        <v>20</v>
      </c>
      <c r="E58" s="1" t="s">
        <v>33</v>
      </c>
      <c r="F58" s="1" t="s">
        <v>34</v>
      </c>
      <c r="G58">
        <v>4434</v>
      </c>
      <c r="H58">
        <v>2</v>
      </c>
      <c r="I58">
        <v>4434</v>
      </c>
      <c r="J58">
        <v>93114</v>
      </c>
      <c r="K58" s="1" t="s">
        <v>132</v>
      </c>
      <c r="L58" s="2">
        <v>0.47638888888888886</v>
      </c>
      <c r="M58" s="1" t="s">
        <v>31</v>
      </c>
      <c r="N58">
        <v>8868</v>
      </c>
      <c r="O58">
        <v>4761904762</v>
      </c>
      <c r="P58">
        <v>4434</v>
      </c>
      <c r="Q58">
        <v>58</v>
      </c>
    </row>
    <row r="59" spans="1:17" x14ac:dyDescent="0.25">
      <c r="A59" s="1" t="s">
        <v>133</v>
      </c>
      <c r="B59" s="1" t="s">
        <v>18</v>
      </c>
      <c r="C59" s="1" t="s">
        <v>19</v>
      </c>
      <c r="D59" s="1" t="s">
        <v>28</v>
      </c>
      <c r="E59" s="1" t="s">
        <v>33</v>
      </c>
      <c r="F59" s="1" t="s">
        <v>22</v>
      </c>
      <c r="G59">
        <v>896</v>
      </c>
      <c r="H59">
        <v>8</v>
      </c>
      <c r="I59">
        <v>3584</v>
      </c>
      <c r="J59">
        <v>75264</v>
      </c>
      <c r="K59" s="1" t="s">
        <v>63</v>
      </c>
      <c r="L59" s="2">
        <v>0.4777777777777778</v>
      </c>
      <c r="M59" s="1" t="s">
        <v>24</v>
      </c>
      <c r="N59">
        <v>7168</v>
      </c>
      <c r="O59">
        <v>4761904762</v>
      </c>
      <c r="P59">
        <v>3584</v>
      </c>
      <c r="Q59">
        <v>66</v>
      </c>
    </row>
    <row r="60" spans="1:17" x14ac:dyDescent="0.25">
      <c r="A60" s="1" t="s">
        <v>134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34</v>
      </c>
      <c r="G60">
        <v>7235</v>
      </c>
      <c r="H60">
        <v>10</v>
      </c>
      <c r="I60">
        <v>36175</v>
      </c>
      <c r="J60">
        <v>759675</v>
      </c>
      <c r="K60" s="1" t="s">
        <v>135</v>
      </c>
      <c r="L60" s="2">
        <v>0.66319444444444442</v>
      </c>
      <c r="M60" s="1" t="s">
        <v>31</v>
      </c>
      <c r="N60">
        <v>7235</v>
      </c>
      <c r="O60">
        <v>4761904762</v>
      </c>
      <c r="P60">
        <v>36175</v>
      </c>
      <c r="Q60">
        <v>54</v>
      </c>
    </row>
    <row r="61" spans="1:17" x14ac:dyDescent="0.25">
      <c r="A61" s="1" t="s">
        <v>136</v>
      </c>
      <c r="B61" s="1" t="s">
        <v>26</v>
      </c>
      <c r="C61" s="1" t="s">
        <v>27</v>
      </c>
      <c r="D61" s="1" t="s">
        <v>28</v>
      </c>
      <c r="E61" s="1" t="s">
        <v>33</v>
      </c>
      <c r="F61" s="1" t="s">
        <v>29</v>
      </c>
      <c r="G61">
        <v>3061</v>
      </c>
      <c r="H61">
        <v>6</v>
      </c>
      <c r="I61">
        <v>9183</v>
      </c>
      <c r="J61">
        <v>192843</v>
      </c>
      <c r="K61" s="1" t="s">
        <v>137</v>
      </c>
      <c r="L61" s="2">
        <v>0.85833333333333328</v>
      </c>
      <c r="M61" s="1" t="s">
        <v>31</v>
      </c>
      <c r="N61">
        <v>18366</v>
      </c>
      <c r="O61">
        <v>4761904762</v>
      </c>
      <c r="P61">
        <v>9183</v>
      </c>
      <c r="Q61">
        <v>93</v>
      </c>
    </row>
    <row r="62" spans="1:17" x14ac:dyDescent="0.25">
      <c r="A62" s="1" t="s">
        <v>138</v>
      </c>
      <c r="B62" s="1" t="s">
        <v>26</v>
      </c>
      <c r="C62" s="1" t="s">
        <v>27</v>
      </c>
      <c r="D62" s="1" t="s">
        <v>20</v>
      </c>
      <c r="E62" s="1" t="s">
        <v>21</v>
      </c>
      <c r="F62" s="1" t="s">
        <v>40</v>
      </c>
      <c r="G62">
        <v>2474</v>
      </c>
      <c r="H62">
        <v>3</v>
      </c>
      <c r="I62">
        <v>3711</v>
      </c>
      <c r="J62">
        <v>77931</v>
      </c>
      <c r="K62" s="1" t="s">
        <v>139</v>
      </c>
      <c r="L62" s="2">
        <v>0.74097222222222225</v>
      </c>
      <c r="M62" s="1" t="s">
        <v>36</v>
      </c>
      <c r="N62">
        <v>7422</v>
      </c>
      <c r="O62">
        <v>4761904762</v>
      </c>
      <c r="P62">
        <v>3711</v>
      </c>
      <c r="Q62">
        <v>10</v>
      </c>
    </row>
    <row r="63" spans="1:17" x14ac:dyDescent="0.25">
      <c r="A63" s="1" t="s">
        <v>140</v>
      </c>
      <c r="B63" s="1" t="s">
        <v>26</v>
      </c>
      <c r="C63" s="1" t="s">
        <v>27</v>
      </c>
      <c r="D63" s="1" t="s">
        <v>28</v>
      </c>
      <c r="E63" s="1" t="s">
        <v>33</v>
      </c>
      <c r="F63" s="1" t="s">
        <v>34</v>
      </c>
      <c r="G63">
        <v>5573</v>
      </c>
      <c r="H63">
        <v>6</v>
      </c>
      <c r="I63">
        <v>16719</v>
      </c>
      <c r="J63">
        <v>351099</v>
      </c>
      <c r="K63" s="1" t="s">
        <v>47</v>
      </c>
      <c r="L63" s="2">
        <v>0.4548611111111111</v>
      </c>
      <c r="M63" s="1" t="s">
        <v>24</v>
      </c>
      <c r="N63">
        <v>33438</v>
      </c>
      <c r="O63">
        <v>4761904762</v>
      </c>
      <c r="P63">
        <v>16719</v>
      </c>
      <c r="Q63">
        <v>7</v>
      </c>
    </row>
    <row r="64" spans="1:17" x14ac:dyDescent="0.25">
      <c r="A64" s="1" t="s">
        <v>141</v>
      </c>
      <c r="B64" s="1" t="s">
        <v>51</v>
      </c>
      <c r="C64" s="1" t="s">
        <v>52</v>
      </c>
      <c r="D64" s="1" t="s">
        <v>20</v>
      </c>
      <c r="E64" s="1" t="s">
        <v>21</v>
      </c>
      <c r="F64" s="1" t="s">
        <v>40</v>
      </c>
      <c r="G64">
        <v>5507</v>
      </c>
      <c r="H64">
        <v>9</v>
      </c>
      <c r="I64">
        <v>247815</v>
      </c>
      <c r="J64">
        <v>5204115</v>
      </c>
      <c r="K64" s="1" t="s">
        <v>123</v>
      </c>
      <c r="L64" s="2">
        <v>0.56944444444444442</v>
      </c>
      <c r="M64" s="1" t="s">
        <v>24</v>
      </c>
      <c r="N64">
        <v>49563</v>
      </c>
      <c r="O64">
        <v>4761904762</v>
      </c>
      <c r="P64">
        <v>247815</v>
      </c>
      <c r="Q64">
        <v>10</v>
      </c>
    </row>
    <row r="65" spans="1:17" x14ac:dyDescent="0.25">
      <c r="A65" s="1" t="s">
        <v>142</v>
      </c>
      <c r="B65" s="1" t="s">
        <v>18</v>
      </c>
      <c r="C65" s="1" t="s">
        <v>19</v>
      </c>
      <c r="D65" s="1" t="s">
        <v>20</v>
      </c>
      <c r="E65" s="1" t="s">
        <v>33</v>
      </c>
      <c r="F65" s="1" t="s">
        <v>40</v>
      </c>
      <c r="G65">
        <v>1581</v>
      </c>
      <c r="H65">
        <v>10</v>
      </c>
      <c r="I65">
        <v>7905</v>
      </c>
      <c r="J65">
        <v>166005</v>
      </c>
      <c r="K65" s="1" t="s">
        <v>143</v>
      </c>
      <c r="L65" s="2">
        <v>0.51875000000000004</v>
      </c>
      <c r="M65" s="1" t="s">
        <v>36</v>
      </c>
      <c r="N65">
        <v>1581</v>
      </c>
      <c r="O65">
        <v>4761904762</v>
      </c>
      <c r="P65">
        <v>7905</v>
      </c>
      <c r="Q65">
        <v>86</v>
      </c>
    </row>
    <row r="66" spans="1:17" x14ac:dyDescent="0.25">
      <c r="A66" s="1" t="s">
        <v>144</v>
      </c>
      <c r="B66" s="1" t="s">
        <v>51</v>
      </c>
      <c r="C66" s="1" t="s">
        <v>52</v>
      </c>
      <c r="D66" s="1" t="s">
        <v>20</v>
      </c>
      <c r="E66" s="1" t="s">
        <v>33</v>
      </c>
      <c r="F66" s="1" t="s">
        <v>22</v>
      </c>
      <c r="G66">
        <v>7574</v>
      </c>
      <c r="H66">
        <v>4</v>
      </c>
      <c r="I66">
        <v>15148</v>
      </c>
      <c r="J66">
        <v>318108</v>
      </c>
      <c r="K66" s="1" t="s">
        <v>145</v>
      </c>
      <c r="L66" s="2">
        <v>0.60763888888888884</v>
      </c>
      <c r="M66" s="1" t="s">
        <v>31</v>
      </c>
      <c r="N66">
        <v>30296</v>
      </c>
      <c r="O66">
        <v>4761904762</v>
      </c>
      <c r="P66">
        <v>15148</v>
      </c>
      <c r="Q66">
        <v>76</v>
      </c>
    </row>
    <row r="67" spans="1:17" x14ac:dyDescent="0.25">
      <c r="A67" s="1" t="s">
        <v>146</v>
      </c>
      <c r="B67" s="1" t="s">
        <v>18</v>
      </c>
      <c r="C67" s="1" t="s">
        <v>19</v>
      </c>
      <c r="D67" s="1" t="s">
        <v>20</v>
      </c>
      <c r="E67" s="1" t="s">
        <v>33</v>
      </c>
      <c r="F67" s="1" t="s">
        <v>22</v>
      </c>
      <c r="G67">
        <v>1587</v>
      </c>
      <c r="H67">
        <v>10</v>
      </c>
      <c r="I67">
        <v>7935</v>
      </c>
      <c r="J67">
        <v>166635</v>
      </c>
      <c r="K67" s="1" t="s">
        <v>147</v>
      </c>
      <c r="L67" s="2">
        <v>0.69444444444444442</v>
      </c>
      <c r="M67" s="1" t="s">
        <v>31</v>
      </c>
      <c r="N67">
        <v>1587</v>
      </c>
      <c r="O67">
        <v>4761904762</v>
      </c>
      <c r="P67">
        <v>7935</v>
      </c>
      <c r="Q67">
        <v>58</v>
      </c>
    </row>
    <row r="68" spans="1:17" x14ac:dyDescent="0.25">
      <c r="A68" s="1" t="s">
        <v>148</v>
      </c>
      <c r="B68" s="1" t="s">
        <v>26</v>
      </c>
      <c r="C68" s="1" t="s">
        <v>27</v>
      </c>
      <c r="D68" s="1" t="s">
        <v>28</v>
      </c>
      <c r="E68" s="1" t="s">
        <v>21</v>
      </c>
      <c r="F68" s="1" t="s">
        <v>22</v>
      </c>
      <c r="G68">
        <v>3347</v>
      </c>
      <c r="H68">
        <v>2</v>
      </c>
      <c r="I68">
        <v>3347</v>
      </c>
      <c r="J68">
        <v>70287</v>
      </c>
      <c r="K68" s="1" t="s">
        <v>119</v>
      </c>
      <c r="L68" s="2">
        <v>0.65486111111111112</v>
      </c>
      <c r="M68" s="1" t="s">
        <v>24</v>
      </c>
      <c r="N68">
        <v>6694</v>
      </c>
      <c r="O68">
        <v>4761904762</v>
      </c>
      <c r="P68">
        <v>3347</v>
      </c>
      <c r="Q68">
        <v>67</v>
      </c>
    </row>
    <row r="69" spans="1:17" x14ac:dyDescent="0.25">
      <c r="A69" s="1" t="s">
        <v>149</v>
      </c>
      <c r="B69" s="1" t="s">
        <v>51</v>
      </c>
      <c r="C69" s="1" t="s">
        <v>52</v>
      </c>
      <c r="D69" s="1" t="s">
        <v>20</v>
      </c>
      <c r="E69" s="1" t="s">
        <v>21</v>
      </c>
      <c r="F69" s="1" t="s">
        <v>56</v>
      </c>
      <c r="G69">
        <v>9761</v>
      </c>
      <c r="H69">
        <v>6</v>
      </c>
      <c r="I69">
        <v>29283</v>
      </c>
      <c r="J69">
        <v>614943</v>
      </c>
      <c r="K69" s="1" t="s">
        <v>99</v>
      </c>
      <c r="L69" s="2">
        <v>0.62569444444444444</v>
      </c>
      <c r="M69" s="1" t="s">
        <v>24</v>
      </c>
      <c r="N69">
        <v>58566</v>
      </c>
      <c r="O69">
        <v>4761904762</v>
      </c>
      <c r="P69">
        <v>29283</v>
      </c>
      <c r="Q69">
        <v>99</v>
      </c>
    </row>
    <row r="70" spans="1:17" x14ac:dyDescent="0.25">
      <c r="A70" s="1" t="s">
        <v>150</v>
      </c>
      <c r="B70" s="1" t="s">
        <v>18</v>
      </c>
      <c r="C70" s="1" t="s">
        <v>19</v>
      </c>
      <c r="D70" s="1" t="s">
        <v>28</v>
      </c>
      <c r="E70" s="1" t="s">
        <v>33</v>
      </c>
      <c r="F70" s="1" t="s">
        <v>40</v>
      </c>
      <c r="G70">
        <v>7877</v>
      </c>
      <c r="H70">
        <v>10</v>
      </c>
      <c r="I70">
        <v>39385</v>
      </c>
      <c r="J70">
        <v>827085</v>
      </c>
      <c r="K70" s="1" t="s">
        <v>151</v>
      </c>
      <c r="L70" s="2">
        <v>0.41944444444444445</v>
      </c>
      <c r="M70" s="1" t="s">
        <v>31</v>
      </c>
      <c r="N70">
        <v>7877</v>
      </c>
      <c r="O70">
        <v>4761904762</v>
      </c>
      <c r="P70">
        <v>39385</v>
      </c>
      <c r="Q70">
        <v>64</v>
      </c>
    </row>
    <row r="71" spans="1:17" x14ac:dyDescent="0.25">
      <c r="A71" s="1" t="s">
        <v>152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>
        <v>1833</v>
      </c>
      <c r="H71">
        <v>1</v>
      </c>
      <c r="I71">
        <v>9165</v>
      </c>
      <c r="J71">
        <v>192465</v>
      </c>
      <c r="K71" s="1" t="s">
        <v>108</v>
      </c>
      <c r="L71" s="2">
        <v>0.78472222222222221</v>
      </c>
      <c r="M71" s="1" t="s">
        <v>31</v>
      </c>
      <c r="N71">
        <v>1833</v>
      </c>
      <c r="O71">
        <v>4761904762</v>
      </c>
      <c r="P71">
        <v>9165</v>
      </c>
      <c r="Q71">
        <v>43</v>
      </c>
    </row>
    <row r="72" spans="1:17" x14ac:dyDescent="0.25">
      <c r="A72" s="1" t="s">
        <v>153</v>
      </c>
      <c r="B72" s="1" t="s">
        <v>26</v>
      </c>
      <c r="C72" s="1" t="s">
        <v>27</v>
      </c>
      <c r="D72" s="1" t="s">
        <v>28</v>
      </c>
      <c r="E72" s="1" t="s">
        <v>33</v>
      </c>
      <c r="F72" s="1" t="s">
        <v>53</v>
      </c>
      <c r="G72">
        <v>8948</v>
      </c>
      <c r="H72">
        <v>10</v>
      </c>
      <c r="I72">
        <v>4474</v>
      </c>
      <c r="J72">
        <v>93954</v>
      </c>
      <c r="K72" s="1" t="s">
        <v>154</v>
      </c>
      <c r="L72" s="2">
        <v>0.53194444444444444</v>
      </c>
      <c r="M72" s="1" t="s">
        <v>36</v>
      </c>
      <c r="N72">
        <v>8948</v>
      </c>
      <c r="O72">
        <v>4761904762</v>
      </c>
      <c r="P72">
        <v>4474</v>
      </c>
      <c r="Q72">
        <v>96</v>
      </c>
    </row>
    <row r="73" spans="1:17" x14ac:dyDescent="0.25">
      <c r="A73" s="1" t="s">
        <v>155</v>
      </c>
      <c r="B73" s="1" t="s">
        <v>26</v>
      </c>
      <c r="C73" s="1" t="s">
        <v>27</v>
      </c>
      <c r="D73" s="1" t="s">
        <v>28</v>
      </c>
      <c r="E73" s="1" t="s">
        <v>33</v>
      </c>
      <c r="F73" s="1" t="s">
        <v>56</v>
      </c>
      <c r="G73">
        <v>6212</v>
      </c>
      <c r="H73">
        <v>10</v>
      </c>
      <c r="I73">
        <v>3106</v>
      </c>
      <c r="J73">
        <v>65226</v>
      </c>
      <c r="K73" s="1" t="s">
        <v>156</v>
      </c>
      <c r="L73" s="2">
        <v>0.67986111111111114</v>
      </c>
      <c r="M73" s="1" t="s">
        <v>31</v>
      </c>
      <c r="N73">
        <v>6212</v>
      </c>
      <c r="O73">
        <v>4761904762</v>
      </c>
      <c r="P73">
        <v>3106</v>
      </c>
      <c r="Q73">
        <v>59</v>
      </c>
    </row>
    <row r="74" spans="1:17" x14ac:dyDescent="0.25">
      <c r="A74" s="1" t="s">
        <v>157</v>
      </c>
      <c r="B74" s="1" t="s">
        <v>51</v>
      </c>
      <c r="C74" s="1" t="s">
        <v>52</v>
      </c>
      <c r="D74" s="1" t="s">
        <v>20</v>
      </c>
      <c r="E74" s="1" t="s">
        <v>21</v>
      </c>
      <c r="F74" s="1" t="s">
        <v>53</v>
      </c>
      <c r="G74">
        <v>4852</v>
      </c>
      <c r="H74">
        <v>3</v>
      </c>
      <c r="I74">
        <v>7278</v>
      </c>
      <c r="J74">
        <v>152838</v>
      </c>
      <c r="K74" s="1" t="s">
        <v>77</v>
      </c>
      <c r="L74" s="2">
        <v>0.76180555555555551</v>
      </c>
      <c r="M74" s="1" t="s">
        <v>24</v>
      </c>
      <c r="N74">
        <v>14556</v>
      </c>
      <c r="O74">
        <v>4761904762</v>
      </c>
      <c r="P74">
        <v>7278</v>
      </c>
      <c r="Q74">
        <v>4</v>
      </c>
    </row>
    <row r="75" spans="1:17" x14ac:dyDescent="0.25">
      <c r="A75" s="1" t="s">
        <v>158</v>
      </c>
      <c r="B75" s="1" t="s">
        <v>26</v>
      </c>
      <c r="C75" s="1" t="s">
        <v>27</v>
      </c>
      <c r="D75" s="1" t="s">
        <v>28</v>
      </c>
      <c r="E75" s="1" t="s">
        <v>21</v>
      </c>
      <c r="F75" s="1" t="s">
        <v>29</v>
      </c>
      <c r="G75">
        <v>7591</v>
      </c>
      <c r="H75">
        <v>6</v>
      </c>
      <c r="I75">
        <v>22773</v>
      </c>
      <c r="J75">
        <v>478233</v>
      </c>
      <c r="K75" s="1" t="s">
        <v>59</v>
      </c>
      <c r="L75" s="2">
        <v>0.76458333333333328</v>
      </c>
      <c r="M75" s="1" t="s">
        <v>31</v>
      </c>
      <c r="N75">
        <v>45546</v>
      </c>
      <c r="O75">
        <v>4761904762</v>
      </c>
      <c r="P75">
        <v>22773</v>
      </c>
      <c r="Q75">
        <v>87</v>
      </c>
    </row>
    <row r="76" spans="1:17" x14ac:dyDescent="0.25">
      <c r="A76" s="1" t="s">
        <v>159</v>
      </c>
      <c r="B76" s="1" t="s">
        <v>18</v>
      </c>
      <c r="C76" s="1" t="s">
        <v>19</v>
      </c>
      <c r="D76" s="1" t="s">
        <v>28</v>
      </c>
      <c r="E76" s="1" t="s">
        <v>33</v>
      </c>
      <c r="F76" s="1" t="s">
        <v>34</v>
      </c>
      <c r="G76">
        <v>7467</v>
      </c>
      <c r="H76">
        <v>9</v>
      </c>
      <c r="I76">
        <v>336015</v>
      </c>
      <c r="J76">
        <v>7056315</v>
      </c>
      <c r="K76" s="1" t="s">
        <v>160</v>
      </c>
      <c r="L76" s="2">
        <v>0.4548611111111111</v>
      </c>
      <c r="M76" s="1" t="s">
        <v>24</v>
      </c>
      <c r="N76">
        <v>67203</v>
      </c>
      <c r="O76">
        <v>4761904762</v>
      </c>
      <c r="P76">
        <v>336015</v>
      </c>
      <c r="Q76">
        <v>94</v>
      </c>
    </row>
    <row r="77" spans="1:17" x14ac:dyDescent="0.25">
      <c r="A77" s="1" t="s">
        <v>161</v>
      </c>
      <c r="B77" s="1" t="s">
        <v>26</v>
      </c>
      <c r="C77" s="1" t="s">
        <v>27</v>
      </c>
      <c r="D77" s="1" t="s">
        <v>28</v>
      </c>
      <c r="E77" s="1" t="s">
        <v>21</v>
      </c>
      <c r="F77" s="1" t="s">
        <v>29</v>
      </c>
      <c r="G77">
        <v>4165</v>
      </c>
      <c r="H77">
        <v>10</v>
      </c>
      <c r="I77">
        <v>20825</v>
      </c>
      <c r="J77">
        <v>437325</v>
      </c>
      <c r="K77" s="1" t="s">
        <v>162</v>
      </c>
      <c r="L77" s="2">
        <v>0.71111111111111114</v>
      </c>
      <c r="M77" s="1" t="s">
        <v>36</v>
      </c>
      <c r="N77">
        <v>4165</v>
      </c>
      <c r="O77">
        <v>4761904762</v>
      </c>
      <c r="P77">
        <v>20825</v>
      </c>
      <c r="Q77">
        <v>54</v>
      </c>
    </row>
    <row r="78" spans="1:17" x14ac:dyDescent="0.25">
      <c r="A78" s="1" t="s">
        <v>163</v>
      </c>
      <c r="B78" s="1" t="s">
        <v>26</v>
      </c>
      <c r="C78" s="1" t="s">
        <v>27</v>
      </c>
      <c r="D78" s="1" t="s">
        <v>20</v>
      </c>
      <c r="E78" s="1" t="s">
        <v>33</v>
      </c>
      <c r="F78" s="1" t="s">
        <v>56</v>
      </c>
      <c r="G78">
        <v>4904</v>
      </c>
      <c r="H78">
        <v>9</v>
      </c>
      <c r="I78">
        <v>22068</v>
      </c>
      <c r="J78">
        <v>463428</v>
      </c>
      <c r="K78" s="1" t="s">
        <v>164</v>
      </c>
      <c r="L78" s="2">
        <v>0.59722222222222221</v>
      </c>
      <c r="M78" s="1" t="s">
        <v>36</v>
      </c>
      <c r="N78">
        <v>44136</v>
      </c>
      <c r="O78">
        <v>4761904762</v>
      </c>
      <c r="P78">
        <v>22068</v>
      </c>
      <c r="Q78">
        <v>86</v>
      </c>
    </row>
    <row r="79" spans="1:17" x14ac:dyDescent="0.25">
      <c r="A79" s="1" t="s">
        <v>165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56</v>
      </c>
      <c r="G79">
        <v>2001</v>
      </c>
      <c r="H79">
        <v>9</v>
      </c>
      <c r="I79">
        <v>90045</v>
      </c>
      <c r="J79">
        <v>1890945</v>
      </c>
      <c r="K79" s="1" t="s">
        <v>166</v>
      </c>
      <c r="L79" s="2">
        <v>0.65833333333333333</v>
      </c>
      <c r="M79" s="1" t="s">
        <v>36</v>
      </c>
      <c r="N79">
        <v>18009</v>
      </c>
      <c r="O79">
        <v>4761904762</v>
      </c>
      <c r="P79">
        <v>90045</v>
      </c>
      <c r="Q79">
        <v>57</v>
      </c>
    </row>
    <row r="80" spans="1:17" x14ac:dyDescent="0.25">
      <c r="A80" s="1" t="s">
        <v>167</v>
      </c>
      <c r="B80" s="1" t="s">
        <v>26</v>
      </c>
      <c r="C80" s="1" t="s">
        <v>27</v>
      </c>
      <c r="D80" s="1" t="s">
        <v>20</v>
      </c>
      <c r="E80" s="1" t="s">
        <v>21</v>
      </c>
      <c r="F80" s="1" t="s">
        <v>53</v>
      </c>
      <c r="G80">
        <v>7831</v>
      </c>
      <c r="H80">
        <v>10</v>
      </c>
      <c r="I80">
        <v>39155</v>
      </c>
      <c r="J80">
        <v>822255</v>
      </c>
      <c r="K80" s="1" t="s">
        <v>77</v>
      </c>
      <c r="L80" s="2">
        <v>0.68333333333333335</v>
      </c>
      <c r="M80" s="1" t="s">
        <v>24</v>
      </c>
      <c r="N80">
        <v>7831</v>
      </c>
      <c r="O80">
        <v>4761904762</v>
      </c>
      <c r="P80">
        <v>39155</v>
      </c>
      <c r="Q80">
        <v>66</v>
      </c>
    </row>
    <row r="81" spans="1:17" x14ac:dyDescent="0.25">
      <c r="A81" s="1" t="s">
        <v>168</v>
      </c>
      <c r="B81" s="1" t="s">
        <v>26</v>
      </c>
      <c r="C81" s="1" t="s">
        <v>27</v>
      </c>
      <c r="D81" s="1" t="s">
        <v>28</v>
      </c>
      <c r="E81" s="1" t="s">
        <v>21</v>
      </c>
      <c r="F81" s="1" t="s">
        <v>22</v>
      </c>
      <c r="G81">
        <v>2038</v>
      </c>
      <c r="H81">
        <v>5</v>
      </c>
      <c r="I81">
        <v>5095</v>
      </c>
      <c r="J81">
        <v>106995</v>
      </c>
      <c r="K81" s="1" t="s">
        <v>160</v>
      </c>
      <c r="L81" s="2">
        <v>0.78888888888888886</v>
      </c>
      <c r="M81" s="1" t="s">
        <v>31</v>
      </c>
      <c r="N81">
        <v>1019</v>
      </c>
      <c r="O81">
        <v>4761904762</v>
      </c>
      <c r="P81">
        <v>5095</v>
      </c>
      <c r="Q81">
        <v>6</v>
      </c>
    </row>
    <row r="82" spans="1:17" x14ac:dyDescent="0.25">
      <c r="A82" s="1" t="s">
        <v>169</v>
      </c>
      <c r="B82" s="1" t="s">
        <v>26</v>
      </c>
      <c r="C82" s="1" t="s">
        <v>27</v>
      </c>
      <c r="D82" s="1" t="s">
        <v>28</v>
      </c>
      <c r="E82" s="1" t="s">
        <v>21</v>
      </c>
      <c r="F82" s="1" t="s">
        <v>22</v>
      </c>
      <c r="G82">
        <v>9919</v>
      </c>
      <c r="H82">
        <v>6</v>
      </c>
      <c r="I82">
        <v>29757</v>
      </c>
      <c r="J82">
        <v>624897</v>
      </c>
      <c r="K82" s="1" t="s">
        <v>73</v>
      </c>
      <c r="L82" s="2">
        <v>0.61250000000000004</v>
      </c>
      <c r="M82" s="1" t="s">
        <v>36</v>
      </c>
      <c r="N82">
        <v>59514</v>
      </c>
      <c r="O82">
        <v>4761904762</v>
      </c>
      <c r="P82">
        <v>29757</v>
      </c>
      <c r="Q82">
        <v>55</v>
      </c>
    </row>
    <row r="83" spans="1:17" x14ac:dyDescent="0.25">
      <c r="A83" s="1" t="s">
        <v>170</v>
      </c>
      <c r="B83" s="1" t="s">
        <v>51</v>
      </c>
      <c r="C83" s="1" t="s">
        <v>52</v>
      </c>
      <c r="D83" s="1" t="s">
        <v>28</v>
      </c>
      <c r="E83" s="1" t="s">
        <v>21</v>
      </c>
      <c r="F83" s="1" t="s">
        <v>53</v>
      </c>
      <c r="G83">
        <v>9668</v>
      </c>
      <c r="H83">
        <v>3</v>
      </c>
      <c r="I83">
        <v>14502</v>
      </c>
      <c r="J83">
        <v>304542</v>
      </c>
      <c r="K83" s="1" t="s">
        <v>171</v>
      </c>
      <c r="L83" s="2">
        <v>0.8305555555555556</v>
      </c>
      <c r="M83" s="1" t="s">
        <v>24</v>
      </c>
      <c r="N83">
        <v>29004</v>
      </c>
      <c r="O83">
        <v>4761904762</v>
      </c>
      <c r="P83">
        <v>14502</v>
      </c>
      <c r="Q83">
        <v>64</v>
      </c>
    </row>
    <row r="84" spans="1:17" x14ac:dyDescent="0.25">
      <c r="A84" s="1" t="s">
        <v>172</v>
      </c>
      <c r="B84" s="1" t="s">
        <v>26</v>
      </c>
      <c r="C84" s="1" t="s">
        <v>27</v>
      </c>
      <c r="D84" s="1" t="s">
        <v>28</v>
      </c>
      <c r="E84" s="1" t="s">
        <v>33</v>
      </c>
      <c r="F84" s="1" t="s">
        <v>53</v>
      </c>
      <c r="G84">
        <v>1925</v>
      </c>
      <c r="H84">
        <v>8</v>
      </c>
      <c r="I84">
        <v>77</v>
      </c>
      <c r="J84">
        <v>1617</v>
      </c>
      <c r="K84" s="1" t="s">
        <v>173</v>
      </c>
      <c r="L84" s="2">
        <v>0.77569444444444446</v>
      </c>
      <c r="M84" s="1" t="s">
        <v>24</v>
      </c>
      <c r="N84">
        <v>154</v>
      </c>
      <c r="O84">
        <v>4761904762</v>
      </c>
      <c r="P84">
        <v>77</v>
      </c>
      <c r="Q84">
        <v>66</v>
      </c>
    </row>
    <row r="85" spans="1:17" x14ac:dyDescent="0.25">
      <c r="A85" s="1" t="s">
        <v>174</v>
      </c>
      <c r="B85" s="1" t="s">
        <v>26</v>
      </c>
      <c r="C85" s="1" t="s">
        <v>27</v>
      </c>
      <c r="D85" s="1" t="s">
        <v>20</v>
      </c>
      <c r="E85" s="1" t="s">
        <v>21</v>
      </c>
      <c r="F85" s="1" t="s">
        <v>53</v>
      </c>
      <c r="G85">
        <v>8036</v>
      </c>
      <c r="H85">
        <v>4</v>
      </c>
      <c r="I85">
        <v>16072</v>
      </c>
      <c r="J85">
        <v>337512</v>
      </c>
      <c r="K85" s="1" t="s">
        <v>175</v>
      </c>
      <c r="L85" s="2">
        <v>0.78125</v>
      </c>
      <c r="M85" s="1" t="s">
        <v>36</v>
      </c>
      <c r="N85">
        <v>32144</v>
      </c>
      <c r="O85">
        <v>4761904762</v>
      </c>
      <c r="P85">
        <v>16072</v>
      </c>
      <c r="Q85">
        <v>83</v>
      </c>
    </row>
    <row r="86" spans="1:17" x14ac:dyDescent="0.25">
      <c r="A86" s="1" t="s">
        <v>176</v>
      </c>
      <c r="B86" s="1" t="s">
        <v>26</v>
      </c>
      <c r="C86" s="1" t="s">
        <v>27</v>
      </c>
      <c r="D86" s="1" t="s">
        <v>20</v>
      </c>
      <c r="E86" s="1" t="s">
        <v>33</v>
      </c>
      <c r="F86" s="1" t="s">
        <v>40</v>
      </c>
      <c r="G86">
        <v>4891</v>
      </c>
      <c r="H86">
        <v>5</v>
      </c>
      <c r="I86">
        <v>122275</v>
      </c>
      <c r="J86">
        <v>2567775</v>
      </c>
      <c r="K86" s="1" t="s">
        <v>59</v>
      </c>
      <c r="L86" s="2">
        <v>0.4284722222222222</v>
      </c>
      <c r="M86" s="1" t="s">
        <v>31</v>
      </c>
      <c r="N86">
        <v>24455</v>
      </c>
      <c r="O86">
        <v>4761904762</v>
      </c>
      <c r="P86">
        <v>122275</v>
      </c>
      <c r="Q86">
        <v>66</v>
      </c>
    </row>
    <row r="87" spans="1:17" x14ac:dyDescent="0.25">
      <c r="A87" s="1" t="s">
        <v>177</v>
      </c>
      <c r="B87" s="1" t="s">
        <v>26</v>
      </c>
      <c r="C87" s="1" t="s">
        <v>27</v>
      </c>
      <c r="D87" s="1" t="s">
        <v>28</v>
      </c>
      <c r="E87" s="1" t="s">
        <v>21</v>
      </c>
      <c r="F87" s="1" t="s">
        <v>40</v>
      </c>
      <c r="G87">
        <v>8306</v>
      </c>
      <c r="H87">
        <v>7</v>
      </c>
      <c r="I87">
        <v>29071</v>
      </c>
      <c r="J87">
        <v>610491</v>
      </c>
      <c r="K87" s="1" t="s">
        <v>77</v>
      </c>
      <c r="L87" s="2">
        <v>0.60486111111111107</v>
      </c>
      <c r="M87" s="1" t="s">
        <v>24</v>
      </c>
      <c r="N87">
        <v>58142</v>
      </c>
      <c r="O87">
        <v>4761904762</v>
      </c>
      <c r="P87">
        <v>29071</v>
      </c>
      <c r="Q87">
        <v>4</v>
      </c>
    </row>
    <row r="88" spans="1:17" x14ac:dyDescent="0.25">
      <c r="A88" s="1" t="s">
        <v>178</v>
      </c>
      <c r="B88" s="1" t="s">
        <v>26</v>
      </c>
      <c r="C88" s="1" t="s">
        <v>27</v>
      </c>
      <c r="D88" s="1" t="s">
        <v>28</v>
      </c>
      <c r="E88" s="1" t="s">
        <v>33</v>
      </c>
      <c r="F88" s="1" t="s">
        <v>56</v>
      </c>
      <c r="G88">
        <v>7652</v>
      </c>
      <c r="H88">
        <v>5</v>
      </c>
      <c r="I88">
        <v>1913</v>
      </c>
      <c r="J88">
        <v>40173</v>
      </c>
      <c r="K88" s="1" t="s">
        <v>43</v>
      </c>
      <c r="L88" s="2">
        <v>0.43263888888888891</v>
      </c>
      <c r="M88" s="1" t="s">
        <v>31</v>
      </c>
      <c r="N88">
        <v>3826</v>
      </c>
      <c r="O88">
        <v>4761904762</v>
      </c>
      <c r="P88">
        <v>1913</v>
      </c>
      <c r="Q88">
        <v>99</v>
      </c>
    </row>
    <row r="89" spans="1:17" x14ac:dyDescent="0.25">
      <c r="A89" s="1" t="s">
        <v>179</v>
      </c>
      <c r="B89" s="1" t="s">
        <v>18</v>
      </c>
      <c r="C89" s="1" t="s">
        <v>19</v>
      </c>
      <c r="D89" s="1" t="s">
        <v>20</v>
      </c>
      <c r="E89" s="1" t="s">
        <v>33</v>
      </c>
      <c r="F89" s="1" t="s">
        <v>53</v>
      </c>
      <c r="G89">
        <v>4938</v>
      </c>
      <c r="H89">
        <v>7</v>
      </c>
      <c r="I89">
        <v>17283</v>
      </c>
      <c r="J89">
        <v>362943</v>
      </c>
      <c r="K89" s="1" t="s">
        <v>132</v>
      </c>
      <c r="L89" s="2">
        <v>0.85763888888888884</v>
      </c>
      <c r="M89" s="1" t="s">
        <v>36</v>
      </c>
      <c r="N89">
        <v>34566</v>
      </c>
      <c r="O89">
        <v>4761904762</v>
      </c>
      <c r="P89">
        <v>17283</v>
      </c>
      <c r="Q89">
        <v>73</v>
      </c>
    </row>
    <row r="90" spans="1:17" x14ac:dyDescent="0.25">
      <c r="A90" s="1" t="s">
        <v>180</v>
      </c>
      <c r="B90" s="1" t="s">
        <v>18</v>
      </c>
      <c r="C90" s="1" t="s">
        <v>19</v>
      </c>
      <c r="D90" s="1" t="s">
        <v>28</v>
      </c>
      <c r="E90" s="1" t="s">
        <v>33</v>
      </c>
      <c r="F90" s="1" t="s">
        <v>40</v>
      </c>
      <c r="G90">
        <v>4247</v>
      </c>
      <c r="H90">
        <v>1</v>
      </c>
      <c r="I90">
        <v>21235</v>
      </c>
      <c r="J90">
        <v>445935</v>
      </c>
      <c r="K90" s="1" t="s">
        <v>181</v>
      </c>
      <c r="L90" s="2">
        <v>0.70625000000000004</v>
      </c>
      <c r="M90" s="1" t="s">
        <v>31</v>
      </c>
      <c r="N90">
        <v>4247</v>
      </c>
      <c r="O90">
        <v>4761904762</v>
      </c>
      <c r="P90">
        <v>21235</v>
      </c>
      <c r="Q90">
        <v>57</v>
      </c>
    </row>
    <row r="91" spans="1:17" x14ac:dyDescent="0.25">
      <c r="A91" s="1" t="s">
        <v>182</v>
      </c>
      <c r="B91" s="1" t="s">
        <v>51</v>
      </c>
      <c r="C91" s="1" t="s">
        <v>52</v>
      </c>
      <c r="D91" s="1" t="s">
        <v>28</v>
      </c>
      <c r="E91" s="1" t="s">
        <v>21</v>
      </c>
      <c r="F91" s="1" t="s">
        <v>22</v>
      </c>
      <c r="G91">
        <v>7699</v>
      </c>
      <c r="H91">
        <v>6</v>
      </c>
      <c r="I91">
        <v>23097</v>
      </c>
      <c r="J91">
        <v>485037</v>
      </c>
      <c r="K91" s="1" t="s">
        <v>116</v>
      </c>
      <c r="L91" s="2">
        <v>0.74652777777777779</v>
      </c>
      <c r="M91" s="1" t="s">
        <v>31</v>
      </c>
      <c r="N91">
        <v>46194</v>
      </c>
      <c r="O91">
        <v>4761904762</v>
      </c>
      <c r="P91">
        <v>23097</v>
      </c>
      <c r="Q91">
        <v>61</v>
      </c>
    </row>
    <row r="92" spans="1:17" x14ac:dyDescent="0.25">
      <c r="A92" s="1" t="s">
        <v>183</v>
      </c>
      <c r="B92" s="1" t="s">
        <v>26</v>
      </c>
      <c r="C92" s="1" t="s">
        <v>27</v>
      </c>
      <c r="D92" s="1" t="s">
        <v>20</v>
      </c>
      <c r="E92" s="1" t="s">
        <v>21</v>
      </c>
      <c r="F92" s="1" t="s">
        <v>34</v>
      </c>
      <c r="G92">
        <v>4738</v>
      </c>
      <c r="H92">
        <v>4</v>
      </c>
      <c r="I92">
        <v>9476</v>
      </c>
      <c r="J92">
        <v>198996</v>
      </c>
      <c r="K92" s="1" t="s">
        <v>173</v>
      </c>
      <c r="L92" s="2">
        <v>0.43402777777777779</v>
      </c>
      <c r="M92" s="1" t="s">
        <v>31</v>
      </c>
      <c r="N92">
        <v>18952</v>
      </c>
      <c r="O92">
        <v>4761904762</v>
      </c>
      <c r="P92">
        <v>9476</v>
      </c>
      <c r="Q92">
        <v>71</v>
      </c>
    </row>
    <row r="93" spans="1:17" x14ac:dyDescent="0.25">
      <c r="A93" s="1" t="s">
        <v>184</v>
      </c>
      <c r="B93" s="1" t="s">
        <v>26</v>
      </c>
      <c r="C93" s="1" t="s">
        <v>27</v>
      </c>
      <c r="D93" s="1" t="s">
        <v>28</v>
      </c>
      <c r="E93" s="1" t="s">
        <v>21</v>
      </c>
      <c r="F93" s="1" t="s">
        <v>40</v>
      </c>
      <c r="G93">
        <v>4486</v>
      </c>
      <c r="H93">
        <v>10</v>
      </c>
      <c r="I93">
        <v>2243</v>
      </c>
      <c r="J93">
        <v>47103</v>
      </c>
      <c r="K93" s="1" t="s">
        <v>171</v>
      </c>
      <c r="L93" s="2">
        <v>0.82916666666666672</v>
      </c>
      <c r="M93" s="1" t="s">
        <v>24</v>
      </c>
      <c r="N93">
        <v>4486</v>
      </c>
      <c r="O93">
        <v>4761904762</v>
      </c>
      <c r="P93">
        <v>2243</v>
      </c>
      <c r="Q93">
        <v>82</v>
      </c>
    </row>
    <row r="94" spans="1:17" x14ac:dyDescent="0.25">
      <c r="A94" s="1" t="s">
        <v>185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40</v>
      </c>
      <c r="G94">
        <v>2198</v>
      </c>
      <c r="H94">
        <v>7</v>
      </c>
      <c r="I94">
        <v>7693</v>
      </c>
      <c r="J94">
        <v>161553</v>
      </c>
      <c r="K94" s="1" t="s">
        <v>49</v>
      </c>
      <c r="L94" s="2">
        <v>0.6958333333333333</v>
      </c>
      <c r="M94" s="1" t="s">
        <v>24</v>
      </c>
      <c r="N94">
        <v>15386</v>
      </c>
      <c r="O94">
        <v>4761904762</v>
      </c>
      <c r="P94">
        <v>7693</v>
      </c>
      <c r="Q94">
        <v>51</v>
      </c>
    </row>
    <row r="95" spans="1:17" x14ac:dyDescent="0.25">
      <c r="A95" s="1" t="s">
        <v>186</v>
      </c>
      <c r="B95" s="1" t="s">
        <v>51</v>
      </c>
      <c r="C95" s="1" t="s">
        <v>52</v>
      </c>
      <c r="D95" s="1" t="s">
        <v>20</v>
      </c>
      <c r="E95" s="1" t="s">
        <v>33</v>
      </c>
      <c r="F95" s="1" t="s">
        <v>22</v>
      </c>
      <c r="G95">
        <v>6436</v>
      </c>
      <c r="H95">
        <v>9</v>
      </c>
      <c r="I95">
        <v>28962</v>
      </c>
      <c r="J95">
        <v>608202</v>
      </c>
      <c r="K95" s="1" t="s">
        <v>137</v>
      </c>
      <c r="L95" s="2">
        <v>0.50624999999999998</v>
      </c>
      <c r="M95" s="1" t="s">
        <v>36</v>
      </c>
      <c r="N95">
        <v>57924</v>
      </c>
      <c r="O95">
        <v>4761904762</v>
      </c>
      <c r="P95">
        <v>28962</v>
      </c>
      <c r="Q95">
        <v>86</v>
      </c>
    </row>
    <row r="96" spans="1:17" x14ac:dyDescent="0.25">
      <c r="A96" s="1" t="s">
        <v>187</v>
      </c>
      <c r="B96" s="1" t="s">
        <v>26</v>
      </c>
      <c r="C96" s="1" t="s">
        <v>27</v>
      </c>
      <c r="D96" s="1" t="s">
        <v>28</v>
      </c>
      <c r="E96" s="1" t="s">
        <v>33</v>
      </c>
      <c r="F96" s="1" t="s">
        <v>22</v>
      </c>
      <c r="G96">
        <v>8975</v>
      </c>
      <c r="H96">
        <v>1</v>
      </c>
      <c r="I96">
        <v>44875</v>
      </c>
      <c r="J96">
        <v>942375</v>
      </c>
      <c r="K96" s="1" t="s">
        <v>57</v>
      </c>
      <c r="L96" s="2">
        <v>0.83680555555555558</v>
      </c>
      <c r="M96" s="1" t="s">
        <v>36</v>
      </c>
      <c r="N96">
        <v>8975</v>
      </c>
      <c r="O96">
        <v>4761904762</v>
      </c>
      <c r="P96">
        <v>44875</v>
      </c>
      <c r="Q96">
        <v>66</v>
      </c>
    </row>
    <row r="97" spans="1:17" x14ac:dyDescent="0.25">
      <c r="A97" s="1" t="s">
        <v>188</v>
      </c>
      <c r="B97" s="1" t="s">
        <v>18</v>
      </c>
      <c r="C97" s="1" t="s">
        <v>19</v>
      </c>
      <c r="D97" s="1" t="s">
        <v>28</v>
      </c>
      <c r="E97" s="1" t="s">
        <v>33</v>
      </c>
      <c r="F97" s="1" t="s">
        <v>29</v>
      </c>
      <c r="G97">
        <v>9716</v>
      </c>
      <c r="H97">
        <v>1</v>
      </c>
      <c r="I97">
        <v>4858</v>
      </c>
      <c r="J97">
        <v>102018</v>
      </c>
      <c r="K97" s="1" t="s">
        <v>30</v>
      </c>
      <c r="L97" s="2">
        <v>0.85972222222222228</v>
      </c>
      <c r="M97" s="1" t="s">
        <v>24</v>
      </c>
      <c r="N97">
        <v>9716</v>
      </c>
      <c r="O97">
        <v>4761904762</v>
      </c>
      <c r="P97">
        <v>4858</v>
      </c>
      <c r="Q97">
        <v>72</v>
      </c>
    </row>
    <row r="98" spans="1:17" x14ac:dyDescent="0.25">
      <c r="A98" s="1" t="s">
        <v>189</v>
      </c>
      <c r="B98" s="1" t="s">
        <v>51</v>
      </c>
      <c r="C98" s="1" t="s">
        <v>52</v>
      </c>
      <c r="D98" s="1" t="s">
        <v>28</v>
      </c>
      <c r="E98" s="1" t="s">
        <v>33</v>
      </c>
      <c r="F98" s="1" t="s">
        <v>22</v>
      </c>
      <c r="G98">
        <v>8787</v>
      </c>
      <c r="H98">
        <v>10</v>
      </c>
      <c r="I98">
        <v>43935</v>
      </c>
      <c r="J98">
        <v>922635</v>
      </c>
      <c r="K98" s="1" t="s">
        <v>65</v>
      </c>
      <c r="L98" s="2">
        <v>0.43402777777777779</v>
      </c>
      <c r="M98" s="1" t="s">
        <v>24</v>
      </c>
      <c r="N98">
        <v>8787</v>
      </c>
      <c r="O98">
        <v>4761904762</v>
      </c>
      <c r="P98">
        <v>43935</v>
      </c>
      <c r="Q98">
        <v>51</v>
      </c>
    </row>
    <row r="99" spans="1:17" x14ac:dyDescent="0.25">
      <c r="A99" s="1" t="s">
        <v>190</v>
      </c>
      <c r="B99" s="1" t="s">
        <v>26</v>
      </c>
      <c r="C99" s="1" t="s">
        <v>27</v>
      </c>
      <c r="D99" s="1" t="s">
        <v>28</v>
      </c>
      <c r="E99" s="1" t="s">
        <v>21</v>
      </c>
      <c r="F99" s="1" t="s">
        <v>29</v>
      </c>
      <c r="G99">
        <v>1245</v>
      </c>
      <c r="H99">
        <v>6</v>
      </c>
      <c r="I99">
        <v>3735</v>
      </c>
      <c r="J99">
        <v>78435</v>
      </c>
      <c r="K99" s="1" t="s">
        <v>191</v>
      </c>
      <c r="L99" s="2">
        <v>0.5493055555555556</v>
      </c>
      <c r="M99" s="1" t="s">
        <v>31</v>
      </c>
      <c r="N99">
        <v>747</v>
      </c>
      <c r="O99">
        <v>4761904762</v>
      </c>
      <c r="P99">
        <v>3735</v>
      </c>
      <c r="Q99">
        <v>41</v>
      </c>
    </row>
    <row r="100" spans="1:17" x14ac:dyDescent="0.25">
      <c r="A100" s="1" t="s">
        <v>192</v>
      </c>
      <c r="B100" s="1" t="s">
        <v>18</v>
      </c>
      <c r="C100" s="1" t="s">
        <v>19</v>
      </c>
      <c r="D100" s="1" t="s">
        <v>28</v>
      </c>
      <c r="E100" s="1" t="s">
        <v>33</v>
      </c>
      <c r="F100" s="1" t="s">
        <v>53</v>
      </c>
      <c r="G100">
        <v>5275</v>
      </c>
      <c r="H100">
        <v>3</v>
      </c>
      <c r="I100">
        <v>79125</v>
      </c>
      <c r="J100">
        <v>1661625</v>
      </c>
      <c r="K100" s="1" t="s">
        <v>103</v>
      </c>
      <c r="L100" s="2">
        <v>0.42777777777777776</v>
      </c>
      <c r="M100" s="1" t="s">
        <v>24</v>
      </c>
      <c r="N100">
        <v>15825</v>
      </c>
      <c r="O100">
        <v>4761904762</v>
      </c>
      <c r="P100">
        <v>79125</v>
      </c>
      <c r="Q100">
        <v>93</v>
      </c>
    </row>
    <row r="101" spans="1:17" x14ac:dyDescent="0.25">
      <c r="A101" s="1" t="s">
        <v>193</v>
      </c>
      <c r="B101" s="1" t="s">
        <v>51</v>
      </c>
      <c r="C101" s="1" t="s">
        <v>52</v>
      </c>
      <c r="D101" s="1" t="s">
        <v>28</v>
      </c>
      <c r="E101" s="1" t="s">
        <v>33</v>
      </c>
      <c r="F101" s="1" t="s">
        <v>34</v>
      </c>
      <c r="G101">
        <v>827</v>
      </c>
      <c r="H101">
        <v>6</v>
      </c>
      <c r="I101">
        <v>2481</v>
      </c>
      <c r="J101">
        <v>52101</v>
      </c>
      <c r="K101" s="1" t="s">
        <v>77</v>
      </c>
      <c r="L101" s="2">
        <v>0.75972222222222219</v>
      </c>
      <c r="M101" s="1" t="s">
        <v>31</v>
      </c>
      <c r="N101">
        <v>4962</v>
      </c>
      <c r="O101">
        <v>4761904762</v>
      </c>
      <c r="P101">
        <v>2481</v>
      </c>
      <c r="Q101">
        <v>74</v>
      </c>
    </row>
    <row r="102" spans="1:17" x14ac:dyDescent="0.25">
      <c r="A102" s="1" t="s">
        <v>194</v>
      </c>
      <c r="B102" s="1" t="s">
        <v>26</v>
      </c>
      <c r="C102" s="1" t="s">
        <v>27</v>
      </c>
      <c r="D102" s="1" t="s">
        <v>20</v>
      </c>
      <c r="E102" s="1" t="s">
        <v>33</v>
      </c>
      <c r="F102" s="1" t="s">
        <v>56</v>
      </c>
      <c r="G102">
        <v>4871</v>
      </c>
      <c r="H102">
        <v>1</v>
      </c>
      <c r="I102">
        <v>24355</v>
      </c>
      <c r="J102">
        <v>511455</v>
      </c>
      <c r="K102" s="1" t="s">
        <v>195</v>
      </c>
      <c r="L102" s="2">
        <v>0.80555555555555558</v>
      </c>
      <c r="M102" s="1" t="s">
        <v>31</v>
      </c>
      <c r="N102">
        <v>4871</v>
      </c>
      <c r="O102">
        <v>4761904762</v>
      </c>
      <c r="P102">
        <v>24355</v>
      </c>
      <c r="Q102">
        <v>41</v>
      </c>
    </row>
    <row r="103" spans="1:17" x14ac:dyDescent="0.25">
      <c r="A103" s="1" t="s">
        <v>196</v>
      </c>
      <c r="B103" s="1" t="s">
        <v>26</v>
      </c>
      <c r="C103" s="1" t="s">
        <v>27</v>
      </c>
      <c r="D103" s="1" t="s">
        <v>28</v>
      </c>
      <c r="E103" s="1" t="s">
        <v>33</v>
      </c>
      <c r="F103" s="1" t="s">
        <v>56</v>
      </c>
      <c r="G103">
        <v>7855</v>
      </c>
      <c r="H103">
        <v>9</v>
      </c>
      <c r="I103">
        <v>353475</v>
      </c>
      <c r="J103">
        <v>7422975</v>
      </c>
      <c r="K103" s="1" t="s">
        <v>197</v>
      </c>
      <c r="L103" s="2">
        <v>0.55694444444444446</v>
      </c>
      <c r="M103" s="1" t="s">
        <v>31</v>
      </c>
      <c r="N103">
        <v>70695</v>
      </c>
      <c r="O103">
        <v>4761904762</v>
      </c>
      <c r="P103">
        <v>353475</v>
      </c>
      <c r="Q103">
        <v>72</v>
      </c>
    </row>
    <row r="104" spans="1:17" x14ac:dyDescent="0.25">
      <c r="A104" s="1" t="s">
        <v>198</v>
      </c>
      <c r="B104" s="1" t="s">
        <v>26</v>
      </c>
      <c r="C104" s="1" t="s">
        <v>27</v>
      </c>
      <c r="D104" s="1" t="s">
        <v>28</v>
      </c>
      <c r="E104" s="1" t="s">
        <v>21</v>
      </c>
      <c r="F104" s="1" t="s">
        <v>29</v>
      </c>
      <c r="G104">
        <v>2307</v>
      </c>
      <c r="H104">
        <v>9</v>
      </c>
      <c r="I104">
        <v>103815</v>
      </c>
      <c r="J104">
        <v>2180115</v>
      </c>
      <c r="K104" s="1" t="s">
        <v>199</v>
      </c>
      <c r="L104" s="2">
        <v>0.47708333333333336</v>
      </c>
      <c r="M104" s="1" t="s">
        <v>31</v>
      </c>
      <c r="N104">
        <v>20763</v>
      </c>
      <c r="O104">
        <v>4761904762</v>
      </c>
      <c r="P104">
        <v>103815</v>
      </c>
      <c r="Q104">
        <v>49</v>
      </c>
    </row>
    <row r="105" spans="1:17" x14ac:dyDescent="0.25">
      <c r="A105" s="1" t="s">
        <v>200</v>
      </c>
      <c r="B105" s="1" t="s">
        <v>18</v>
      </c>
      <c r="C105" s="1" t="s">
        <v>19</v>
      </c>
      <c r="D105" s="1" t="s">
        <v>28</v>
      </c>
      <c r="E105" s="1" t="s">
        <v>33</v>
      </c>
      <c r="F105" s="1" t="s">
        <v>53</v>
      </c>
      <c r="G105">
        <v>5826</v>
      </c>
      <c r="H105">
        <v>6</v>
      </c>
      <c r="I105">
        <v>17478</v>
      </c>
      <c r="J105">
        <v>367038</v>
      </c>
      <c r="K105" s="1" t="s">
        <v>201</v>
      </c>
      <c r="L105" s="2">
        <v>0.69722222222222219</v>
      </c>
      <c r="M105" s="1" t="s">
        <v>31</v>
      </c>
      <c r="N105">
        <v>34956</v>
      </c>
      <c r="O105">
        <v>4761904762</v>
      </c>
      <c r="P105">
        <v>17478</v>
      </c>
      <c r="Q105">
        <v>99</v>
      </c>
    </row>
    <row r="106" spans="1:17" x14ac:dyDescent="0.25">
      <c r="A106" s="1" t="s">
        <v>202</v>
      </c>
      <c r="B106" s="1" t="s">
        <v>51</v>
      </c>
      <c r="C106" s="1" t="s">
        <v>52</v>
      </c>
      <c r="D106" s="1" t="s">
        <v>28</v>
      </c>
      <c r="E106" s="1" t="s">
        <v>33</v>
      </c>
      <c r="F106" s="1" t="s">
        <v>22</v>
      </c>
      <c r="G106">
        <v>3035</v>
      </c>
      <c r="H106">
        <v>7</v>
      </c>
      <c r="I106">
        <v>106225</v>
      </c>
      <c r="J106">
        <v>2230725</v>
      </c>
      <c r="K106" s="1" t="s">
        <v>121</v>
      </c>
      <c r="L106" s="2">
        <v>0.7631944444444444</v>
      </c>
      <c r="M106" s="1" t="s">
        <v>31</v>
      </c>
      <c r="N106">
        <v>21245</v>
      </c>
      <c r="O106">
        <v>4761904762</v>
      </c>
      <c r="P106">
        <v>106225</v>
      </c>
      <c r="Q106">
        <v>8</v>
      </c>
    </row>
    <row r="107" spans="1:17" x14ac:dyDescent="0.25">
      <c r="A107" s="1" t="s">
        <v>203</v>
      </c>
      <c r="B107" s="1" t="s">
        <v>18</v>
      </c>
      <c r="C107" s="1" t="s">
        <v>19</v>
      </c>
      <c r="D107" s="1" t="s">
        <v>20</v>
      </c>
      <c r="E107" s="1" t="s">
        <v>33</v>
      </c>
      <c r="F107" s="1" t="s">
        <v>29</v>
      </c>
      <c r="G107">
        <v>8867</v>
      </c>
      <c r="H107">
        <v>10</v>
      </c>
      <c r="I107">
        <v>44335</v>
      </c>
      <c r="J107">
        <v>931035</v>
      </c>
      <c r="K107" s="1" t="s">
        <v>166</v>
      </c>
      <c r="L107" s="2">
        <v>0.61805555555555558</v>
      </c>
      <c r="M107" s="1" t="s">
        <v>24</v>
      </c>
      <c r="N107">
        <v>8867</v>
      </c>
      <c r="O107">
        <v>4761904762</v>
      </c>
      <c r="P107">
        <v>44335</v>
      </c>
      <c r="Q107">
        <v>73</v>
      </c>
    </row>
    <row r="108" spans="1:17" x14ac:dyDescent="0.25">
      <c r="A108" s="1" t="s">
        <v>204</v>
      </c>
      <c r="B108" s="1" t="s">
        <v>26</v>
      </c>
      <c r="C108" s="1" t="s">
        <v>27</v>
      </c>
      <c r="D108" s="1" t="s">
        <v>28</v>
      </c>
      <c r="E108" s="1" t="s">
        <v>33</v>
      </c>
      <c r="F108" s="1" t="s">
        <v>56</v>
      </c>
      <c r="G108">
        <v>2738</v>
      </c>
      <c r="H108">
        <v>6</v>
      </c>
      <c r="I108">
        <v>8214</v>
      </c>
      <c r="J108">
        <v>172494</v>
      </c>
      <c r="K108" s="1" t="s">
        <v>23</v>
      </c>
      <c r="L108" s="2">
        <v>0.87083333333333335</v>
      </c>
      <c r="M108" s="1" t="s">
        <v>36</v>
      </c>
      <c r="N108">
        <v>16428</v>
      </c>
      <c r="O108">
        <v>4761904762</v>
      </c>
      <c r="P108">
        <v>8214</v>
      </c>
      <c r="Q108">
        <v>79</v>
      </c>
    </row>
    <row r="109" spans="1:17" x14ac:dyDescent="0.25">
      <c r="A109" s="1" t="s">
        <v>205</v>
      </c>
      <c r="B109" s="1" t="s">
        <v>18</v>
      </c>
      <c r="C109" s="1" t="s">
        <v>19</v>
      </c>
      <c r="D109" s="1" t="s">
        <v>28</v>
      </c>
      <c r="E109" s="1" t="s">
        <v>33</v>
      </c>
      <c r="F109" s="1" t="s">
        <v>40</v>
      </c>
      <c r="G109">
        <v>6213</v>
      </c>
      <c r="H109">
        <v>6</v>
      </c>
      <c r="I109">
        <v>18639</v>
      </c>
      <c r="J109">
        <v>391419</v>
      </c>
      <c r="K109" s="1" t="s">
        <v>85</v>
      </c>
      <c r="L109" s="2">
        <v>0.84652777777777777</v>
      </c>
      <c r="M109" s="1" t="s">
        <v>31</v>
      </c>
      <c r="N109">
        <v>37278</v>
      </c>
      <c r="O109">
        <v>4761904762</v>
      </c>
      <c r="P109">
        <v>18639</v>
      </c>
      <c r="Q109">
        <v>74</v>
      </c>
    </row>
    <row r="110" spans="1:17" x14ac:dyDescent="0.25">
      <c r="A110" s="1" t="s">
        <v>206</v>
      </c>
      <c r="B110" s="1" t="s">
        <v>26</v>
      </c>
      <c r="C110" s="1" t="s">
        <v>27</v>
      </c>
      <c r="D110" s="1" t="s">
        <v>28</v>
      </c>
      <c r="E110" s="1" t="s">
        <v>21</v>
      </c>
      <c r="F110" s="1" t="s">
        <v>53</v>
      </c>
      <c r="G110">
        <v>3398</v>
      </c>
      <c r="H110">
        <v>9</v>
      </c>
      <c r="I110">
        <v>15291</v>
      </c>
      <c r="J110">
        <v>321111</v>
      </c>
      <c r="K110" s="1" t="s">
        <v>207</v>
      </c>
      <c r="L110" s="2">
        <v>0.4465277777777778</v>
      </c>
      <c r="M110" s="1" t="s">
        <v>31</v>
      </c>
      <c r="N110">
        <v>30582</v>
      </c>
      <c r="O110">
        <v>4761904762</v>
      </c>
      <c r="P110">
        <v>15291</v>
      </c>
      <c r="Q110">
        <v>42</v>
      </c>
    </row>
    <row r="111" spans="1:17" x14ac:dyDescent="0.25">
      <c r="A111" s="1" t="s">
        <v>208</v>
      </c>
      <c r="B111" s="1" t="s">
        <v>26</v>
      </c>
      <c r="C111" s="1" t="s">
        <v>27</v>
      </c>
      <c r="D111" s="1" t="s">
        <v>20</v>
      </c>
      <c r="E111" s="1" t="s">
        <v>33</v>
      </c>
      <c r="F111" s="1" t="s">
        <v>29</v>
      </c>
      <c r="G111">
        <v>8197</v>
      </c>
      <c r="H111">
        <v>10</v>
      </c>
      <c r="I111">
        <v>40985</v>
      </c>
      <c r="J111">
        <v>860685</v>
      </c>
      <c r="K111" s="1" t="s">
        <v>35</v>
      </c>
      <c r="L111" s="2">
        <v>0.60416666666666663</v>
      </c>
      <c r="M111" s="1" t="s">
        <v>31</v>
      </c>
      <c r="N111">
        <v>8197</v>
      </c>
      <c r="O111">
        <v>4761904762</v>
      </c>
      <c r="P111">
        <v>40985</v>
      </c>
      <c r="Q111">
        <v>92</v>
      </c>
    </row>
    <row r="112" spans="1:17" x14ac:dyDescent="0.25">
      <c r="A112" s="1" t="s">
        <v>209</v>
      </c>
      <c r="B112" s="1" t="s">
        <v>51</v>
      </c>
      <c r="C112" s="1" t="s">
        <v>52</v>
      </c>
      <c r="D112" s="1" t="s">
        <v>20</v>
      </c>
      <c r="E112" s="1" t="s">
        <v>21</v>
      </c>
      <c r="F112" s="1" t="s">
        <v>40</v>
      </c>
      <c r="G112">
        <v>1649</v>
      </c>
      <c r="H112">
        <v>2</v>
      </c>
      <c r="I112">
        <v>1649</v>
      </c>
      <c r="J112">
        <v>34629</v>
      </c>
      <c r="K112" s="1" t="s">
        <v>210</v>
      </c>
      <c r="L112" s="2">
        <v>0.48055555555555557</v>
      </c>
      <c r="M112" s="1" t="s">
        <v>24</v>
      </c>
      <c r="N112">
        <v>3298</v>
      </c>
      <c r="O112">
        <v>4761904762</v>
      </c>
      <c r="P112">
        <v>1649</v>
      </c>
      <c r="Q112">
        <v>46</v>
      </c>
    </row>
    <row r="113" spans="1:17" x14ac:dyDescent="0.25">
      <c r="A113" s="1" t="s">
        <v>211</v>
      </c>
      <c r="B113" s="1" t="s">
        <v>26</v>
      </c>
      <c r="C113" s="1" t="s">
        <v>27</v>
      </c>
      <c r="D113" s="1" t="s">
        <v>20</v>
      </c>
      <c r="E113" s="1" t="s">
        <v>21</v>
      </c>
      <c r="F113" s="1" t="s">
        <v>22</v>
      </c>
      <c r="G113">
        <v>9821</v>
      </c>
      <c r="H113">
        <v>3</v>
      </c>
      <c r="I113">
        <v>147315</v>
      </c>
      <c r="J113">
        <v>3093615</v>
      </c>
      <c r="K113" s="1" t="s">
        <v>210</v>
      </c>
      <c r="L113" s="2">
        <v>0.44513888888888886</v>
      </c>
      <c r="M113" s="1" t="s">
        <v>36</v>
      </c>
      <c r="N113">
        <v>29463</v>
      </c>
      <c r="O113">
        <v>4761904762</v>
      </c>
      <c r="P113">
        <v>147315</v>
      </c>
      <c r="Q113">
        <v>78</v>
      </c>
    </row>
    <row r="114" spans="1:17" x14ac:dyDescent="0.25">
      <c r="A114" s="1" t="s">
        <v>212</v>
      </c>
      <c r="B114" s="1" t="s">
        <v>51</v>
      </c>
      <c r="C114" s="1" t="s">
        <v>52</v>
      </c>
      <c r="D114" s="1" t="s">
        <v>28</v>
      </c>
      <c r="E114" s="1" t="s">
        <v>21</v>
      </c>
      <c r="F114" s="1" t="s">
        <v>56</v>
      </c>
      <c r="G114">
        <v>7284</v>
      </c>
      <c r="H114">
        <v>7</v>
      </c>
      <c r="I114">
        <v>25494</v>
      </c>
      <c r="J114">
        <v>535374</v>
      </c>
      <c r="K114" s="1" t="s">
        <v>139</v>
      </c>
      <c r="L114" s="2">
        <v>0.53055555555555556</v>
      </c>
      <c r="M114" s="1" t="s">
        <v>31</v>
      </c>
      <c r="N114">
        <v>50988</v>
      </c>
      <c r="O114">
        <v>4761904762</v>
      </c>
      <c r="P114">
        <v>25494</v>
      </c>
      <c r="Q114">
        <v>84</v>
      </c>
    </row>
    <row r="115" spans="1:17" x14ac:dyDescent="0.25">
      <c r="A115" s="1" t="s">
        <v>213</v>
      </c>
      <c r="B115" s="1" t="s">
        <v>18</v>
      </c>
      <c r="C115" s="1" t="s">
        <v>19</v>
      </c>
      <c r="D115" s="1" t="s">
        <v>20</v>
      </c>
      <c r="E115" s="1" t="s">
        <v>33</v>
      </c>
      <c r="F115" s="1" t="s">
        <v>34</v>
      </c>
      <c r="G115">
        <v>5807</v>
      </c>
      <c r="H115">
        <v>9</v>
      </c>
      <c r="I115">
        <v>261315</v>
      </c>
      <c r="J115">
        <v>5487615</v>
      </c>
      <c r="K115" s="1" t="s">
        <v>214</v>
      </c>
      <c r="L115" s="2">
        <v>0.83819444444444446</v>
      </c>
      <c r="M115" s="1" t="s">
        <v>24</v>
      </c>
      <c r="N115">
        <v>52263</v>
      </c>
      <c r="O115">
        <v>4761904762</v>
      </c>
      <c r="P115">
        <v>261315</v>
      </c>
      <c r="Q115">
        <v>43</v>
      </c>
    </row>
    <row r="116" spans="1:17" x14ac:dyDescent="0.25">
      <c r="A116" s="1" t="s">
        <v>215</v>
      </c>
      <c r="B116" s="1" t="s">
        <v>26</v>
      </c>
      <c r="C116" s="1" t="s">
        <v>27</v>
      </c>
      <c r="D116" s="1" t="s">
        <v>20</v>
      </c>
      <c r="E116" s="1" t="s">
        <v>21</v>
      </c>
      <c r="F116" s="1" t="s">
        <v>34</v>
      </c>
      <c r="G116">
        <v>8079</v>
      </c>
      <c r="H116">
        <v>9</v>
      </c>
      <c r="I116">
        <v>363555</v>
      </c>
      <c r="J116">
        <v>7634655</v>
      </c>
      <c r="K116" s="1" t="s">
        <v>199</v>
      </c>
      <c r="L116" s="2">
        <v>0.85486111111111107</v>
      </c>
      <c r="M116" s="1" t="s">
        <v>36</v>
      </c>
      <c r="N116">
        <v>72711</v>
      </c>
      <c r="O116">
        <v>4761904762</v>
      </c>
      <c r="P116">
        <v>363555</v>
      </c>
      <c r="Q116">
        <v>95</v>
      </c>
    </row>
    <row r="117" spans="1:17" x14ac:dyDescent="0.25">
      <c r="A117" s="1" t="s">
        <v>216</v>
      </c>
      <c r="B117" s="1" t="s">
        <v>26</v>
      </c>
      <c r="C117" s="1" t="s">
        <v>27</v>
      </c>
      <c r="D117" s="1" t="s">
        <v>28</v>
      </c>
      <c r="E117" s="1" t="s">
        <v>21</v>
      </c>
      <c r="F117" s="1" t="s">
        <v>56</v>
      </c>
      <c r="G117">
        <v>2702</v>
      </c>
      <c r="H117">
        <v>3</v>
      </c>
      <c r="I117">
        <v>4053</v>
      </c>
      <c r="J117">
        <v>85113</v>
      </c>
      <c r="K117" s="1" t="s">
        <v>83</v>
      </c>
      <c r="L117" s="2">
        <v>0.54236111111111107</v>
      </c>
      <c r="M117" s="1" t="s">
        <v>36</v>
      </c>
      <c r="N117">
        <v>8106</v>
      </c>
      <c r="O117">
        <v>4761904762</v>
      </c>
      <c r="P117">
        <v>4053</v>
      </c>
      <c r="Q117">
        <v>71</v>
      </c>
    </row>
    <row r="118" spans="1:17" x14ac:dyDescent="0.25">
      <c r="A118" s="1" t="s">
        <v>217</v>
      </c>
      <c r="B118" s="1" t="s">
        <v>51</v>
      </c>
      <c r="C118" s="1" t="s">
        <v>52</v>
      </c>
      <c r="D118" s="1" t="s">
        <v>20</v>
      </c>
      <c r="E118" s="1" t="s">
        <v>33</v>
      </c>
      <c r="F118" s="1" t="s">
        <v>56</v>
      </c>
      <c r="G118">
        <v>2194</v>
      </c>
      <c r="H118">
        <v>5</v>
      </c>
      <c r="I118">
        <v>5485</v>
      </c>
      <c r="J118">
        <v>115185</v>
      </c>
      <c r="K118" s="1" t="s">
        <v>77</v>
      </c>
      <c r="L118" s="2">
        <v>0.52013888888888893</v>
      </c>
      <c r="M118" s="1" t="s">
        <v>24</v>
      </c>
      <c r="N118">
        <v>1097</v>
      </c>
      <c r="O118">
        <v>4761904762</v>
      </c>
      <c r="P118">
        <v>5485</v>
      </c>
      <c r="Q118">
        <v>53</v>
      </c>
    </row>
    <row r="119" spans="1:17" x14ac:dyDescent="0.25">
      <c r="A119" s="1" t="s">
        <v>218</v>
      </c>
      <c r="B119" s="1" t="s">
        <v>51</v>
      </c>
      <c r="C119" s="1" t="s">
        <v>52</v>
      </c>
      <c r="D119" s="1" t="s">
        <v>20</v>
      </c>
      <c r="E119" s="1" t="s">
        <v>33</v>
      </c>
      <c r="F119" s="1" t="s">
        <v>56</v>
      </c>
      <c r="G119">
        <v>5136</v>
      </c>
      <c r="H119">
        <v>1</v>
      </c>
      <c r="I119">
        <v>2568</v>
      </c>
      <c r="J119">
        <v>53928</v>
      </c>
      <c r="K119" s="1" t="s">
        <v>219</v>
      </c>
      <c r="L119" s="2">
        <v>0.6430555555555556</v>
      </c>
      <c r="M119" s="1" t="s">
        <v>24</v>
      </c>
      <c r="N119">
        <v>5136</v>
      </c>
      <c r="O119">
        <v>4761904762</v>
      </c>
      <c r="P119">
        <v>2568</v>
      </c>
      <c r="Q119">
        <v>52</v>
      </c>
    </row>
    <row r="120" spans="1:17" x14ac:dyDescent="0.25">
      <c r="A120" s="1" t="s">
        <v>220</v>
      </c>
      <c r="B120" s="1" t="s">
        <v>18</v>
      </c>
      <c r="C120" s="1" t="s">
        <v>19</v>
      </c>
      <c r="D120" s="1" t="s">
        <v>28</v>
      </c>
      <c r="E120" s="1" t="s">
        <v>21</v>
      </c>
      <c r="F120" s="1" t="s">
        <v>53</v>
      </c>
      <c r="G120">
        <v>1096</v>
      </c>
      <c r="H120">
        <v>10</v>
      </c>
      <c r="I120">
        <v>548</v>
      </c>
      <c r="J120">
        <v>11508</v>
      </c>
      <c r="K120" s="1" t="s">
        <v>108</v>
      </c>
      <c r="L120" s="2">
        <v>0.8666666666666667</v>
      </c>
      <c r="M120" s="1" t="s">
        <v>24</v>
      </c>
      <c r="N120">
        <v>1096</v>
      </c>
      <c r="O120">
        <v>4761904762</v>
      </c>
      <c r="P120">
        <v>548</v>
      </c>
      <c r="Q120">
        <v>6</v>
      </c>
    </row>
    <row r="121" spans="1:17" x14ac:dyDescent="0.25">
      <c r="A121" s="1" t="s">
        <v>221</v>
      </c>
      <c r="B121" s="1" t="s">
        <v>51</v>
      </c>
      <c r="C121" s="1" t="s">
        <v>52</v>
      </c>
      <c r="D121" s="1" t="s">
        <v>28</v>
      </c>
      <c r="E121" s="1" t="s">
        <v>33</v>
      </c>
      <c r="F121" s="1" t="s">
        <v>34</v>
      </c>
      <c r="G121">
        <v>5344</v>
      </c>
      <c r="H121">
        <v>2</v>
      </c>
      <c r="I121">
        <v>5344</v>
      </c>
      <c r="J121">
        <v>112224</v>
      </c>
      <c r="K121" s="1" t="s">
        <v>135</v>
      </c>
      <c r="L121" s="2">
        <v>0.85972222222222228</v>
      </c>
      <c r="M121" s="1" t="s">
        <v>24</v>
      </c>
      <c r="N121">
        <v>10688</v>
      </c>
      <c r="O121">
        <v>4761904762</v>
      </c>
      <c r="P121">
        <v>5344</v>
      </c>
      <c r="Q121">
        <v>41</v>
      </c>
    </row>
    <row r="122" spans="1:17" x14ac:dyDescent="0.25">
      <c r="A122" s="1" t="s">
        <v>222</v>
      </c>
      <c r="B122" s="1" t="s">
        <v>18</v>
      </c>
      <c r="C122" s="1" t="s">
        <v>19</v>
      </c>
      <c r="D122" s="1" t="s">
        <v>28</v>
      </c>
      <c r="E122" s="1" t="s">
        <v>21</v>
      </c>
      <c r="F122" s="1" t="s">
        <v>29</v>
      </c>
      <c r="G122">
        <v>9956</v>
      </c>
      <c r="H122">
        <v>8</v>
      </c>
      <c r="I122">
        <v>39824</v>
      </c>
      <c r="J122">
        <v>836304</v>
      </c>
      <c r="K122" s="1" t="s">
        <v>145</v>
      </c>
      <c r="L122" s="2">
        <v>0.7104166666666667</v>
      </c>
      <c r="M122" s="1" t="s">
        <v>36</v>
      </c>
      <c r="N122">
        <v>79648</v>
      </c>
      <c r="O122">
        <v>4761904762</v>
      </c>
      <c r="P122">
        <v>39824</v>
      </c>
      <c r="Q122">
        <v>52</v>
      </c>
    </row>
    <row r="123" spans="1:17" x14ac:dyDescent="0.25">
      <c r="A123" s="1" t="s">
        <v>223</v>
      </c>
      <c r="B123" s="1" t="s">
        <v>26</v>
      </c>
      <c r="C123" s="1" t="s">
        <v>27</v>
      </c>
      <c r="D123" s="1" t="s">
        <v>20</v>
      </c>
      <c r="E123" s="1" t="s">
        <v>33</v>
      </c>
      <c r="F123" s="1" t="s">
        <v>40</v>
      </c>
      <c r="G123">
        <v>5712</v>
      </c>
      <c r="H123">
        <v>7</v>
      </c>
      <c r="I123">
        <v>19992</v>
      </c>
      <c r="J123">
        <v>419832</v>
      </c>
      <c r="K123" s="1" t="s">
        <v>166</v>
      </c>
      <c r="L123" s="2">
        <v>0.50138888888888888</v>
      </c>
      <c r="M123" s="1" t="s">
        <v>36</v>
      </c>
      <c r="N123">
        <v>39984</v>
      </c>
      <c r="O123">
        <v>4761904762</v>
      </c>
      <c r="P123">
        <v>19992</v>
      </c>
      <c r="Q123">
        <v>65</v>
      </c>
    </row>
    <row r="124" spans="1:17" x14ac:dyDescent="0.25">
      <c r="A124" s="1" t="s">
        <v>224</v>
      </c>
      <c r="B124" s="1" t="s">
        <v>51</v>
      </c>
      <c r="C124" s="1" t="s">
        <v>52</v>
      </c>
      <c r="D124" s="1" t="s">
        <v>20</v>
      </c>
      <c r="E124" s="1" t="s">
        <v>33</v>
      </c>
      <c r="F124" s="1" t="s">
        <v>40</v>
      </c>
      <c r="G124">
        <v>9996</v>
      </c>
      <c r="H124">
        <v>9</v>
      </c>
      <c r="I124">
        <v>44982</v>
      </c>
      <c r="J124">
        <v>944622</v>
      </c>
      <c r="K124" s="1" t="s">
        <v>59</v>
      </c>
      <c r="L124" s="2">
        <v>0.72638888888888886</v>
      </c>
      <c r="M124" s="1" t="s">
        <v>36</v>
      </c>
      <c r="N124">
        <v>89964</v>
      </c>
      <c r="O124">
        <v>4761904762</v>
      </c>
      <c r="P124">
        <v>44982</v>
      </c>
      <c r="Q124">
        <v>42</v>
      </c>
    </row>
    <row r="125" spans="1:17" x14ac:dyDescent="0.25">
      <c r="A125" s="1" t="s">
        <v>225</v>
      </c>
      <c r="B125" s="1" t="s">
        <v>26</v>
      </c>
      <c r="C125" s="1" t="s">
        <v>27</v>
      </c>
      <c r="D125" s="1" t="s">
        <v>20</v>
      </c>
      <c r="E125" s="1" t="s">
        <v>33</v>
      </c>
      <c r="F125" s="1" t="s">
        <v>34</v>
      </c>
      <c r="G125">
        <v>6391</v>
      </c>
      <c r="H125">
        <v>8</v>
      </c>
      <c r="I125">
        <v>25564</v>
      </c>
      <c r="J125">
        <v>536844</v>
      </c>
      <c r="K125" s="1" t="s">
        <v>147</v>
      </c>
      <c r="L125" s="2">
        <v>0.82777777777777772</v>
      </c>
      <c r="M125" s="1" t="s">
        <v>36</v>
      </c>
      <c r="N125">
        <v>51128</v>
      </c>
      <c r="O125">
        <v>4761904762</v>
      </c>
      <c r="P125">
        <v>25564</v>
      </c>
      <c r="Q125">
        <v>46</v>
      </c>
    </row>
    <row r="126" spans="1:17" x14ac:dyDescent="0.25">
      <c r="A126" s="1" t="s">
        <v>226</v>
      </c>
      <c r="B126" s="1" t="s">
        <v>51</v>
      </c>
      <c r="C126" s="1" t="s">
        <v>52</v>
      </c>
      <c r="D126" s="1" t="s">
        <v>20</v>
      </c>
      <c r="E126" s="1" t="s">
        <v>21</v>
      </c>
      <c r="F126" s="1" t="s">
        <v>56</v>
      </c>
      <c r="G126">
        <v>5647</v>
      </c>
      <c r="H126">
        <v>8</v>
      </c>
      <c r="I126">
        <v>22588</v>
      </c>
      <c r="J126">
        <v>474348</v>
      </c>
      <c r="K126" s="1" t="s">
        <v>59</v>
      </c>
      <c r="L126" s="2">
        <v>0.62291666666666667</v>
      </c>
      <c r="M126" s="1" t="s">
        <v>24</v>
      </c>
      <c r="N126">
        <v>45176</v>
      </c>
      <c r="O126">
        <v>4761904762</v>
      </c>
      <c r="P126">
        <v>22588</v>
      </c>
      <c r="Q126">
        <v>73</v>
      </c>
    </row>
    <row r="127" spans="1:17" x14ac:dyDescent="0.25">
      <c r="A127" s="1" t="s">
        <v>227</v>
      </c>
      <c r="B127" s="1" t="s">
        <v>18</v>
      </c>
      <c r="C127" s="1" t="s">
        <v>19</v>
      </c>
      <c r="D127" s="1" t="s">
        <v>28</v>
      </c>
      <c r="E127" s="1" t="s">
        <v>21</v>
      </c>
      <c r="F127" s="1" t="s">
        <v>34</v>
      </c>
      <c r="G127">
        <v>9369</v>
      </c>
      <c r="H127">
        <v>7</v>
      </c>
      <c r="I127">
        <v>327915</v>
      </c>
      <c r="J127">
        <v>6886215</v>
      </c>
      <c r="K127" s="1" t="s">
        <v>88</v>
      </c>
      <c r="L127" s="2">
        <v>0.78055555555555556</v>
      </c>
      <c r="M127" s="1" t="s">
        <v>36</v>
      </c>
      <c r="N127">
        <v>65583</v>
      </c>
      <c r="O127">
        <v>4761904762</v>
      </c>
      <c r="P127">
        <v>327915</v>
      </c>
      <c r="Q127">
        <v>45</v>
      </c>
    </row>
    <row r="128" spans="1:17" x14ac:dyDescent="0.25">
      <c r="A128" s="1" t="s">
        <v>228</v>
      </c>
      <c r="B128" s="1" t="s">
        <v>18</v>
      </c>
      <c r="C128" s="1" t="s">
        <v>19</v>
      </c>
      <c r="D128" s="1" t="s">
        <v>28</v>
      </c>
      <c r="E128" s="1" t="s">
        <v>21</v>
      </c>
      <c r="F128" s="1" t="s">
        <v>40</v>
      </c>
      <c r="G128">
        <v>3225</v>
      </c>
      <c r="H128">
        <v>5</v>
      </c>
      <c r="I128">
        <v>80625</v>
      </c>
      <c r="J128">
        <v>1693125</v>
      </c>
      <c r="K128" s="1" t="s">
        <v>38</v>
      </c>
      <c r="L128" s="2">
        <v>0.55972222222222223</v>
      </c>
      <c r="M128" s="1" t="s">
        <v>31</v>
      </c>
      <c r="N128">
        <v>16125</v>
      </c>
      <c r="O128">
        <v>4761904762</v>
      </c>
      <c r="P128">
        <v>80625</v>
      </c>
      <c r="Q128">
        <v>9</v>
      </c>
    </row>
    <row r="129" spans="1:17" x14ac:dyDescent="0.25">
      <c r="A129" s="1" t="s">
        <v>229</v>
      </c>
      <c r="B129" s="1" t="s">
        <v>26</v>
      </c>
      <c r="C129" s="1" t="s">
        <v>27</v>
      </c>
      <c r="D129" s="1" t="s">
        <v>28</v>
      </c>
      <c r="E129" s="1" t="s">
        <v>21</v>
      </c>
      <c r="F129" s="1" t="s">
        <v>56</v>
      </c>
      <c r="G129">
        <v>3173</v>
      </c>
      <c r="H129">
        <v>9</v>
      </c>
      <c r="I129">
        <v>142785</v>
      </c>
      <c r="J129">
        <v>2998485</v>
      </c>
      <c r="K129" s="1" t="s">
        <v>230</v>
      </c>
      <c r="L129" s="2">
        <v>0.67847222222222225</v>
      </c>
      <c r="M129" s="1" t="s">
        <v>36</v>
      </c>
      <c r="N129">
        <v>28557</v>
      </c>
      <c r="O129">
        <v>4761904762</v>
      </c>
      <c r="P129">
        <v>142785</v>
      </c>
      <c r="Q129">
        <v>59</v>
      </c>
    </row>
    <row r="130" spans="1:17" x14ac:dyDescent="0.25">
      <c r="A130" s="1" t="s">
        <v>231</v>
      </c>
      <c r="B130" s="1" t="s">
        <v>26</v>
      </c>
      <c r="C130" s="1" t="s">
        <v>27</v>
      </c>
      <c r="D130" s="1" t="s">
        <v>20</v>
      </c>
      <c r="E130" s="1" t="s">
        <v>21</v>
      </c>
      <c r="F130" s="1" t="s">
        <v>53</v>
      </c>
      <c r="G130">
        <v>6854</v>
      </c>
      <c r="H130">
        <v>8</v>
      </c>
      <c r="I130">
        <v>27416</v>
      </c>
      <c r="J130">
        <v>575736</v>
      </c>
      <c r="K130" s="1" t="s">
        <v>230</v>
      </c>
      <c r="L130" s="2">
        <v>0.6645833333333333</v>
      </c>
      <c r="M130" s="1" t="s">
        <v>24</v>
      </c>
      <c r="N130">
        <v>54832</v>
      </c>
      <c r="O130">
        <v>4761904762</v>
      </c>
      <c r="P130">
        <v>27416</v>
      </c>
      <c r="Q130">
        <v>85</v>
      </c>
    </row>
    <row r="131" spans="1:17" x14ac:dyDescent="0.25">
      <c r="A131" s="1" t="s">
        <v>232</v>
      </c>
      <c r="B131" s="1" t="s">
        <v>51</v>
      </c>
      <c r="C131" s="1" t="s">
        <v>52</v>
      </c>
      <c r="D131" s="1" t="s">
        <v>28</v>
      </c>
      <c r="E131" s="1" t="s">
        <v>21</v>
      </c>
      <c r="F131" s="1" t="s">
        <v>40</v>
      </c>
      <c r="G131">
        <v>9028</v>
      </c>
      <c r="H131">
        <v>9</v>
      </c>
      <c r="I131">
        <v>40626</v>
      </c>
      <c r="J131">
        <v>853146</v>
      </c>
      <c r="K131" s="1" t="s">
        <v>41</v>
      </c>
      <c r="L131" s="2">
        <v>0.46875</v>
      </c>
      <c r="M131" s="1" t="s">
        <v>24</v>
      </c>
      <c r="N131">
        <v>81252</v>
      </c>
      <c r="O131">
        <v>4761904762</v>
      </c>
      <c r="P131">
        <v>40626</v>
      </c>
      <c r="Q131">
        <v>72</v>
      </c>
    </row>
    <row r="132" spans="1:17" x14ac:dyDescent="0.25">
      <c r="A132" s="1" t="s">
        <v>233</v>
      </c>
      <c r="B132" s="1" t="s">
        <v>51</v>
      </c>
      <c r="C132" s="1" t="s">
        <v>52</v>
      </c>
      <c r="D132" s="1" t="s">
        <v>28</v>
      </c>
      <c r="E132" s="1" t="s">
        <v>21</v>
      </c>
      <c r="F132" s="1" t="s">
        <v>56</v>
      </c>
      <c r="G132">
        <v>3962</v>
      </c>
      <c r="H132">
        <v>7</v>
      </c>
      <c r="I132">
        <v>13867</v>
      </c>
      <c r="J132">
        <v>291207</v>
      </c>
      <c r="K132" s="1" t="s">
        <v>90</v>
      </c>
      <c r="L132" s="2">
        <v>0.5541666666666667</v>
      </c>
      <c r="M132" s="1" t="s">
        <v>31</v>
      </c>
      <c r="N132">
        <v>27734</v>
      </c>
      <c r="O132">
        <v>4761904762</v>
      </c>
      <c r="P132">
        <v>13867</v>
      </c>
      <c r="Q132">
        <v>75</v>
      </c>
    </row>
    <row r="133" spans="1:17" x14ac:dyDescent="0.25">
      <c r="A133" s="1" t="s">
        <v>234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40</v>
      </c>
      <c r="G133">
        <v>9213</v>
      </c>
      <c r="H133">
        <v>6</v>
      </c>
      <c r="I133">
        <v>27639</v>
      </c>
      <c r="J133">
        <v>580419</v>
      </c>
      <c r="K133" s="1" t="s">
        <v>143</v>
      </c>
      <c r="L133" s="2">
        <v>0.8569444444444444</v>
      </c>
      <c r="M133" s="1" t="s">
        <v>31</v>
      </c>
      <c r="N133">
        <v>55278</v>
      </c>
      <c r="O133">
        <v>4761904762</v>
      </c>
      <c r="P133">
        <v>27639</v>
      </c>
      <c r="Q133">
        <v>83</v>
      </c>
    </row>
    <row r="134" spans="1:17" x14ac:dyDescent="0.25">
      <c r="A134" s="1" t="s">
        <v>235</v>
      </c>
      <c r="B134" s="1" t="s">
        <v>51</v>
      </c>
      <c r="C134" s="1" t="s">
        <v>52</v>
      </c>
      <c r="D134" s="1" t="s">
        <v>28</v>
      </c>
      <c r="E134" s="1" t="s">
        <v>21</v>
      </c>
      <c r="F134" s="1" t="s">
        <v>40</v>
      </c>
      <c r="G134">
        <v>3484</v>
      </c>
      <c r="H134">
        <v>4</v>
      </c>
      <c r="I134">
        <v>6968</v>
      </c>
      <c r="J134">
        <v>146328</v>
      </c>
      <c r="K134" s="1" t="s">
        <v>119</v>
      </c>
      <c r="L134" s="2">
        <v>0.77500000000000002</v>
      </c>
      <c r="M134" s="1" t="s">
        <v>31</v>
      </c>
      <c r="N134">
        <v>13936</v>
      </c>
      <c r="O134">
        <v>4761904762</v>
      </c>
      <c r="P134">
        <v>6968</v>
      </c>
      <c r="Q134">
        <v>74</v>
      </c>
    </row>
    <row r="135" spans="1:17" x14ac:dyDescent="0.25">
      <c r="A135" s="1" t="s">
        <v>236</v>
      </c>
      <c r="B135" s="1" t="s">
        <v>51</v>
      </c>
      <c r="C135" s="1" t="s">
        <v>52</v>
      </c>
      <c r="D135" s="1" t="s">
        <v>20</v>
      </c>
      <c r="E135" s="1" t="s">
        <v>33</v>
      </c>
      <c r="F135" s="1" t="s">
        <v>29</v>
      </c>
      <c r="G135">
        <v>8745</v>
      </c>
      <c r="H135">
        <v>6</v>
      </c>
      <c r="I135">
        <v>26235</v>
      </c>
      <c r="J135">
        <v>550935</v>
      </c>
      <c r="K135" s="1" t="s">
        <v>81</v>
      </c>
      <c r="L135" s="2">
        <v>0.61111111111111116</v>
      </c>
      <c r="M135" s="1" t="s">
        <v>36</v>
      </c>
      <c r="N135">
        <v>5247</v>
      </c>
      <c r="O135">
        <v>4761904762</v>
      </c>
      <c r="P135">
        <v>26235</v>
      </c>
      <c r="Q135">
        <v>88</v>
      </c>
    </row>
    <row r="136" spans="1:17" x14ac:dyDescent="0.25">
      <c r="A136" s="1" t="s">
        <v>237</v>
      </c>
      <c r="B136" s="1" t="s">
        <v>26</v>
      </c>
      <c r="C136" s="1" t="s">
        <v>27</v>
      </c>
      <c r="D136" s="1" t="s">
        <v>28</v>
      </c>
      <c r="E136" s="1" t="s">
        <v>21</v>
      </c>
      <c r="F136" s="1" t="s">
        <v>22</v>
      </c>
      <c r="G136">
        <v>813</v>
      </c>
      <c r="H136">
        <v>6</v>
      </c>
      <c r="I136">
        <v>2439</v>
      </c>
      <c r="J136">
        <v>51219</v>
      </c>
      <c r="K136" s="1" t="s">
        <v>30</v>
      </c>
      <c r="L136" s="2">
        <v>0.69652777777777775</v>
      </c>
      <c r="M136" s="1" t="s">
        <v>24</v>
      </c>
      <c r="N136">
        <v>4878</v>
      </c>
      <c r="O136">
        <v>4761904762</v>
      </c>
      <c r="P136">
        <v>2439</v>
      </c>
      <c r="Q136">
        <v>53</v>
      </c>
    </row>
    <row r="137" spans="1:17" x14ac:dyDescent="0.25">
      <c r="A137" s="1" t="s">
        <v>238</v>
      </c>
      <c r="B137" s="1" t="s">
        <v>26</v>
      </c>
      <c r="C137" s="1" t="s">
        <v>27</v>
      </c>
      <c r="D137" s="1" t="s">
        <v>28</v>
      </c>
      <c r="E137" s="1" t="s">
        <v>33</v>
      </c>
      <c r="F137" s="1" t="s">
        <v>56</v>
      </c>
      <c r="G137">
        <v>9022</v>
      </c>
      <c r="H137">
        <v>3</v>
      </c>
      <c r="I137">
        <v>13533</v>
      </c>
      <c r="J137">
        <v>284193</v>
      </c>
      <c r="K137" s="1" t="s">
        <v>239</v>
      </c>
      <c r="L137" s="2">
        <v>0.81874999999999998</v>
      </c>
      <c r="M137" s="1" t="s">
        <v>31</v>
      </c>
      <c r="N137">
        <v>27066</v>
      </c>
      <c r="O137">
        <v>4761904762</v>
      </c>
      <c r="P137">
        <v>13533</v>
      </c>
      <c r="Q137">
        <v>62</v>
      </c>
    </row>
    <row r="138" spans="1:17" x14ac:dyDescent="0.25">
      <c r="A138" s="1" t="s">
        <v>240</v>
      </c>
      <c r="B138" s="1" t="s">
        <v>18</v>
      </c>
      <c r="C138" s="1" t="s">
        <v>19</v>
      </c>
      <c r="D138" s="1" t="s">
        <v>28</v>
      </c>
      <c r="E138" s="1" t="s">
        <v>21</v>
      </c>
      <c r="F138" s="1" t="s">
        <v>29</v>
      </c>
      <c r="G138">
        <v>2631</v>
      </c>
      <c r="H138">
        <v>5</v>
      </c>
      <c r="I138">
        <v>65775</v>
      </c>
      <c r="J138">
        <v>1381275</v>
      </c>
      <c r="K138" s="1" t="s">
        <v>241</v>
      </c>
      <c r="L138" s="2">
        <v>0.87430555555555556</v>
      </c>
      <c r="M138" s="1" t="s">
        <v>36</v>
      </c>
      <c r="N138">
        <v>13155</v>
      </c>
      <c r="O138">
        <v>4761904762</v>
      </c>
      <c r="P138">
        <v>65775</v>
      </c>
      <c r="Q138">
        <v>88</v>
      </c>
    </row>
    <row r="139" spans="1:17" x14ac:dyDescent="0.25">
      <c r="A139" s="1" t="s">
        <v>242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34</v>
      </c>
      <c r="G139">
        <v>3442</v>
      </c>
      <c r="H139">
        <v>6</v>
      </c>
      <c r="I139">
        <v>10326</v>
      </c>
      <c r="J139">
        <v>216846</v>
      </c>
      <c r="K139" s="1" t="s">
        <v>239</v>
      </c>
      <c r="L139" s="2">
        <v>0.65208333333333335</v>
      </c>
      <c r="M139" s="1" t="s">
        <v>31</v>
      </c>
      <c r="N139">
        <v>20652</v>
      </c>
      <c r="O139">
        <v>4761904762</v>
      </c>
      <c r="P139">
        <v>10326</v>
      </c>
      <c r="Q139">
        <v>98</v>
      </c>
    </row>
    <row r="140" spans="1:17" x14ac:dyDescent="0.25">
      <c r="A140" s="1" t="s">
        <v>243</v>
      </c>
      <c r="B140" s="1" t="s">
        <v>51</v>
      </c>
      <c r="C140" s="1" t="s">
        <v>52</v>
      </c>
      <c r="D140" s="1" t="s">
        <v>28</v>
      </c>
      <c r="E140" s="1" t="s">
        <v>33</v>
      </c>
      <c r="F140" s="1" t="s">
        <v>40</v>
      </c>
      <c r="G140">
        <v>5191</v>
      </c>
      <c r="H140">
        <v>10</v>
      </c>
      <c r="I140">
        <v>25955</v>
      </c>
      <c r="J140">
        <v>545055</v>
      </c>
      <c r="K140" s="1" t="s">
        <v>244</v>
      </c>
      <c r="L140" s="2">
        <v>0.51458333333333328</v>
      </c>
      <c r="M140" s="1" t="s">
        <v>31</v>
      </c>
      <c r="N140">
        <v>5191</v>
      </c>
      <c r="O140">
        <v>4761904762</v>
      </c>
      <c r="P140">
        <v>25955</v>
      </c>
      <c r="Q140">
        <v>82</v>
      </c>
    </row>
    <row r="141" spans="1:17" x14ac:dyDescent="0.25">
      <c r="A141" s="1" t="s">
        <v>245</v>
      </c>
      <c r="B141" s="1" t="s">
        <v>18</v>
      </c>
      <c r="C141" s="1" t="s">
        <v>19</v>
      </c>
      <c r="D141" s="1" t="s">
        <v>28</v>
      </c>
      <c r="E141" s="1" t="s">
        <v>33</v>
      </c>
      <c r="F141" s="1" t="s">
        <v>40</v>
      </c>
      <c r="G141">
        <v>725</v>
      </c>
      <c r="H141">
        <v>8</v>
      </c>
      <c r="I141">
        <v>29</v>
      </c>
      <c r="J141">
        <v>609</v>
      </c>
      <c r="K141" s="1" t="s">
        <v>113</v>
      </c>
      <c r="L141" s="2">
        <v>0.80902777777777779</v>
      </c>
      <c r="M141" s="1" t="s">
        <v>24</v>
      </c>
      <c r="N141">
        <v>580</v>
      </c>
      <c r="O141">
        <v>4761904762</v>
      </c>
      <c r="P141">
        <v>29</v>
      </c>
      <c r="Q141">
        <v>92</v>
      </c>
    </row>
    <row r="142" spans="1:17" x14ac:dyDescent="0.25">
      <c r="A142" s="1" t="s">
        <v>246</v>
      </c>
      <c r="B142" s="1" t="s">
        <v>26</v>
      </c>
      <c r="C142" s="1" t="s">
        <v>27</v>
      </c>
      <c r="D142" s="1" t="s">
        <v>20</v>
      </c>
      <c r="E142" s="1" t="s">
        <v>21</v>
      </c>
      <c r="F142" s="1" t="s">
        <v>40</v>
      </c>
      <c r="G142">
        <v>898</v>
      </c>
      <c r="H142">
        <v>10</v>
      </c>
      <c r="I142">
        <v>449</v>
      </c>
      <c r="J142">
        <v>9429</v>
      </c>
      <c r="K142" s="1" t="s">
        <v>173</v>
      </c>
      <c r="L142" s="2">
        <v>0.54166666666666663</v>
      </c>
      <c r="M142" s="1" t="s">
        <v>36</v>
      </c>
      <c r="N142">
        <v>898</v>
      </c>
      <c r="O142">
        <v>4761904762</v>
      </c>
      <c r="P142">
        <v>449</v>
      </c>
      <c r="Q142">
        <v>54</v>
      </c>
    </row>
    <row r="143" spans="1:17" x14ac:dyDescent="0.25">
      <c r="A143" s="1" t="s">
        <v>247</v>
      </c>
      <c r="B143" s="1" t="s">
        <v>26</v>
      </c>
      <c r="C143" s="1" t="s">
        <v>27</v>
      </c>
      <c r="D143" s="1" t="s">
        <v>20</v>
      </c>
      <c r="E143" s="1" t="s">
        <v>33</v>
      </c>
      <c r="F143" s="1" t="s">
        <v>22</v>
      </c>
      <c r="G143">
        <v>905</v>
      </c>
      <c r="H143">
        <v>10</v>
      </c>
      <c r="I143">
        <v>4525</v>
      </c>
      <c r="J143">
        <v>95025</v>
      </c>
      <c r="K143" s="1" t="s">
        <v>90</v>
      </c>
      <c r="L143" s="2">
        <v>0.57499999999999996</v>
      </c>
      <c r="M143" s="1" t="s">
        <v>31</v>
      </c>
      <c r="N143">
        <v>905</v>
      </c>
      <c r="O143">
        <v>4761904762</v>
      </c>
      <c r="P143">
        <v>4525</v>
      </c>
      <c r="Q143">
        <v>81</v>
      </c>
    </row>
    <row r="144" spans="1:17" x14ac:dyDescent="0.25">
      <c r="A144" s="1" t="s">
        <v>248</v>
      </c>
      <c r="B144" s="1" t="s">
        <v>26</v>
      </c>
      <c r="C144" s="1" t="s">
        <v>27</v>
      </c>
      <c r="D144" s="1" t="s">
        <v>20</v>
      </c>
      <c r="E144" s="1" t="s">
        <v>21</v>
      </c>
      <c r="F144" s="1" t="s">
        <v>22</v>
      </c>
      <c r="G144">
        <v>686</v>
      </c>
      <c r="H144">
        <v>10</v>
      </c>
      <c r="I144">
        <v>343</v>
      </c>
      <c r="J144">
        <v>7203</v>
      </c>
      <c r="K144" s="1" t="s">
        <v>210</v>
      </c>
      <c r="L144" s="2">
        <v>0.83125000000000004</v>
      </c>
      <c r="M144" s="1" t="s">
        <v>31</v>
      </c>
      <c r="N144">
        <v>686</v>
      </c>
      <c r="O144">
        <v>4761904762</v>
      </c>
      <c r="P144">
        <v>343</v>
      </c>
      <c r="Q144">
        <v>91</v>
      </c>
    </row>
    <row r="145" spans="1:17" x14ac:dyDescent="0.25">
      <c r="A145" s="1" t="s">
        <v>249</v>
      </c>
      <c r="B145" s="1" t="s">
        <v>26</v>
      </c>
      <c r="C145" s="1" t="s">
        <v>27</v>
      </c>
      <c r="D145" s="1" t="s">
        <v>20</v>
      </c>
      <c r="E145" s="1" t="s">
        <v>21</v>
      </c>
      <c r="F145" s="1" t="s">
        <v>53</v>
      </c>
      <c r="G145">
        <v>3041</v>
      </c>
      <c r="H145">
        <v>1</v>
      </c>
      <c r="I145">
        <v>15205</v>
      </c>
      <c r="J145">
        <v>319305</v>
      </c>
      <c r="K145" s="1" t="s">
        <v>250</v>
      </c>
      <c r="L145" s="2">
        <v>0.44166666666666665</v>
      </c>
      <c r="M145" s="1" t="s">
        <v>36</v>
      </c>
      <c r="N145">
        <v>3041</v>
      </c>
      <c r="O145">
        <v>4761904762</v>
      </c>
      <c r="P145">
        <v>15205</v>
      </c>
      <c r="Q145">
        <v>84</v>
      </c>
    </row>
    <row r="146" spans="1:17" x14ac:dyDescent="0.25">
      <c r="A146" s="1" t="s">
        <v>251</v>
      </c>
      <c r="B146" s="1" t="s">
        <v>18</v>
      </c>
      <c r="C146" s="1" t="s">
        <v>19</v>
      </c>
      <c r="D146" s="1" t="s">
        <v>28</v>
      </c>
      <c r="E146" s="1" t="s">
        <v>21</v>
      </c>
      <c r="F146" s="1" t="s">
        <v>34</v>
      </c>
      <c r="G146">
        <v>7795</v>
      </c>
      <c r="H146">
        <v>6</v>
      </c>
      <c r="I146">
        <v>23385</v>
      </c>
      <c r="J146">
        <v>491085</v>
      </c>
      <c r="K146" s="1" t="s">
        <v>73</v>
      </c>
      <c r="L146" s="2">
        <v>0.69236111111111109</v>
      </c>
      <c r="M146" s="1" t="s">
        <v>24</v>
      </c>
      <c r="N146">
        <v>4677</v>
      </c>
      <c r="O146">
        <v>4761904762</v>
      </c>
      <c r="P146">
        <v>23385</v>
      </c>
      <c r="Q146">
        <v>8</v>
      </c>
    </row>
    <row r="147" spans="1:17" x14ac:dyDescent="0.25">
      <c r="A147" s="1" t="s">
        <v>252</v>
      </c>
      <c r="B147" s="1" t="s">
        <v>26</v>
      </c>
      <c r="C147" s="1" t="s">
        <v>27</v>
      </c>
      <c r="D147" s="1" t="s">
        <v>28</v>
      </c>
      <c r="E147" s="1" t="s">
        <v>21</v>
      </c>
      <c r="F147" s="1" t="s">
        <v>22</v>
      </c>
      <c r="G147">
        <v>4626</v>
      </c>
      <c r="H147">
        <v>6</v>
      </c>
      <c r="I147">
        <v>13878</v>
      </c>
      <c r="J147">
        <v>291438</v>
      </c>
      <c r="K147" s="1" t="s">
        <v>30</v>
      </c>
      <c r="L147" s="2">
        <v>0.71597222222222223</v>
      </c>
      <c r="M147" s="1" t="s">
        <v>36</v>
      </c>
      <c r="N147">
        <v>27756</v>
      </c>
      <c r="O147">
        <v>4761904762</v>
      </c>
      <c r="P147">
        <v>13878</v>
      </c>
      <c r="Q147">
        <v>95</v>
      </c>
    </row>
    <row r="148" spans="1:17" x14ac:dyDescent="0.25">
      <c r="A148" s="1" t="s">
        <v>253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56</v>
      </c>
      <c r="G148">
        <v>3014</v>
      </c>
      <c r="H148">
        <v>10</v>
      </c>
      <c r="I148">
        <v>1507</v>
      </c>
      <c r="J148">
        <v>31647</v>
      </c>
      <c r="K148" s="1" t="s">
        <v>119</v>
      </c>
      <c r="L148" s="2">
        <v>0.51944444444444449</v>
      </c>
      <c r="M148" s="1" t="s">
        <v>24</v>
      </c>
      <c r="N148">
        <v>3014</v>
      </c>
      <c r="O148">
        <v>4761904762</v>
      </c>
      <c r="P148">
        <v>1507</v>
      </c>
      <c r="Q148">
        <v>92</v>
      </c>
    </row>
    <row r="149" spans="1:17" x14ac:dyDescent="0.25">
      <c r="A149" s="1" t="s">
        <v>254</v>
      </c>
      <c r="B149" s="1" t="s">
        <v>26</v>
      </c>
      <c r="C149" s="1" t="s">
        <v>27</v>
      </c>
      <c r="D149" s="1" t="s">
        <v>28</v>
      </c>
      <c r="E149" s="1" t="s">
        <v>33</v>
      </c>
      <c r="F149" s="1" t="s">
        <v>22</v>
      </c>
      <c r="G149">
        <v>6614</v>
      </c>
      <c r="H149">
        <v>4</v>
      </c>
      <c r="I149">
        <v>13228</v>
      </c>
      <c r="J149">
        <v>277788</v>
      </c>
      <c r="K149" s="1" t="s">
        <v>121</v>
      </c>
      <c r="L149" s="2">
        <v>0.53194444444444444</v>
      </c>
      <c r="M149" s="1" t="s">
        <v>36</v>
      </c>
      <c r="N149">
        <v>26456</v>
      </c>
      <c r="O149">
        <v>4761904762</v>
      </c>
      <c r="P149">
        <v>13228</v>
      </c>
      <c r="Q149">
        <v>56</v>
      </c>
    </row>
    <row r="150" spans="1:17" x14ac:dyDescent="0.25">
      <c r="A150" s="1" t="s">
        <v>255</v>
      </c>
      <c r="B150" s="1" t="s">
        <v>51</v>
      </c>
      <c r="C150" s="1" t="s">
        <v>52</v>
      </c>
      <c r="D150" s="1" t="s">
        <v>20</v>
      </c>
      <c r="E150" s="1" t="s">
        <v>33</v>
      </c>
      <c r="F150" s="1" t="s">
        <v>34</v>
      </c>
      <c r="G150">
        <v>7186</v>
      </c>
      <c r="H150">
        <v>8</v>
      </c>
      <c r="I150">
        <v>28744</v>
      </c>
      <c r="J150">
        <v>603624</v>
      </c>
      <c r="K150" s="1" t="s">
        <v>143</v>
      </c>
      <c r="L150" s="2">
        <v>0.62986111111111109</v>
      </c>
      <c r="M150" s="1" t="s">
        <v>36</v>
      </c>
      <c r="N150">
        <v>57488</v>
      </c>
      <c r="O150">
        <v>4761904762</v>
      </c>
      <c r="P150">
        <v>28744</v>
      </c>
      <c r="Q150">
        <v>62</v>
      </c>
    </row>
    <row r="151" spans="1:17" x14ac:dyDescent="0.25">
      <c r="A151" s="1" t="s">
        <v>256</v>
      </c>
      <c r="B151" s="1" t="s">
        <v>18</v>
      </c>
      <c r="C151" s="1" t="s">
        <v>19</v>
      </c>
      <c r="D151" s="1" t="s">
        <v>28</v>
      </c>
      <c r="E151" s="1" t="s">
        <v>33</v>
      </c>
      <c r="F151" s="1" t="s">
        <v>22</v>
      </c>
      <c r="G151">
        <v>3246</v>
      </c>
      <c r="H151">
        <v>8</v>
      </c>
      <c r="I151">
        <v>12984</v>
      </c>
      <c r="J151">
        <v>272664</v>
      </c>
      <c r="K151" s="1" t="s">
        <v>132</v>
      </c>
      <c r="L151" s="2">
        <v>0.57499999999999996</v>
      </c>
      <c r="M151" s="1" t="s">
        <v>36</v>
      </c>
      <c r="N151">
        <v>25968</v>
      </c>
      <c r="O151">
        <v>4761904762</v>
      </c>
      <c r="P151">
        <v>12984</v>
      </c>
      <c r="Q151">
        <v>49</v>
      </c>
    </row>
    <row r="152" spans="1:17" x14ac:dyDescent="0.25">
      <c r="A152" s="1" t="s">
        <v>257</v>
      </c>
      <c r="B152" s="1" t="s">
        <v>51</v>
      </c>
      <c r="C152" s="1" t="s">
        <v>52</v>
      </c>
      <c r="D152" s="1" t="s">
        <v>20</v>
      </c>
      <c r="E152" s="1" t="s">
        <v>21</v>
      </c>
      <c r="F152" s="1" t="s">
        <v>56</v>
      </c>
      <c r="G152">
        <v>9154</v>
      </c>
      <c r="H152">
        <v>4</v>
      </c>
      <c r="I152">
        <v>18308</v>
      </c>
      <c r="J152">
        <v>384468</v>
      </c>
      <c r="K152" s="1" t="s">
        <v>103</v>
      </c>
      <c r="L152" s="2">
        <v>0.80555555555555558</v>
      </c>
      <c r="M152" s="1" t="s">
        <v>36</v>
      </c>
      <c r="N152">
        <v>36616</v>
      </c>
      <c r="O152">
        <v>4761904762</v>
      </c>
      <c r="P152">
        <v>18308</v>
      </c>
      <c r="Q152">
        <v>48</v>
      </c>
    </row>
    <row r="153" spans="1:17" x14ac:dyDescent="0.25">
      <c r="A153" s="1" t="s">
        <v>258</v>
      </c>
      <c r="B153" s="1" t="s">
        <v>26</v>
      </c>
      <c r="C153" s="1" t="s">
        <v>27</v>
      </c>
      <c r="D153" s="1" t="s">
        <v>20</v>
      </c>
      <c r="E153" s="1" t="s">
        <v>33</v>
      </c>
      <c r="F153" s="1" t="s">
        <v>40</v>
      </c>
      <c r="G153">
        <v>3456</v>
      </c>
      <c r="H153">
        <v>7</v>
      </c>
      <c r="I153">
        <v>12096</v>
      </c>
      <c r="J153">
        <v>254016</v>
      </c>
      <c r="K153" s="1" t="s">
        <v>69</v>
      </c>
      <c r="L153" s="2">
        <v>0.67152777777777772</v>
      </c>
      <c r="M153" s="1" t="s">
        <v>36</v>
      </c>
      <c r="N153">
        <v>24192</v>
      </c>
      <c r="O153">
        <v>4761904762</v>
      </c>
      <c r="P153">
        <v>12096</v>
      </c>
      <c r="Q153">
        <v>73</v>
      </c>
    </row>
    <row r="154" spans="1:17" x14ac:dyDescent="0.25">
      <c r="A154" s="1" t="s">
        <v>259</v>
      </c>
      <c r="B154" s="1" t="s">
        <v>18</v>
      </c>
      <c r="C154" s="1" t="s">
        <v>19</v>
      </c>
      <c r="D154" s="1" t="s">
        <v>28</v>
      </c>
      <c r="E154" s="1" t="s">
        <v>33</v>
      </c>
      <c r="F154" s="1" t="s">
        <v>56</v>
      </c>
      <c r="G154">
        <v>8324</v>
      </c>
      <c r="H154">
        <v>9</v>
      </c>
      <c r="I154">
        <v>37458</v>
      </c>
      <c r="J154">
        <v>786618</v>
      </c>
      <c r="K154" s="1" t="s">
        <v>260</v>
      </c>
      <c r="L154" s="2">
        <v>0.49722222222222223</v>
      </c>
      <c r="M154" s="1" t="s">
        <v>36</v>
      </c>
      <c r="N154">
        <v>74916</v>
      </c>
      <c r="O154">
        <v>4761904762</v>
      </c>
      <c r="P154">
        <v>37458</v>
      </c>
      <c r="Q154">
        <v>74</v>
      </c>
    </row>
    <row r="155" spans="1:17" x14ac:dyDescent="0.25">
      <c r="A155" s="1" t="s">
        <v>261</v>
      </c>
      <c r="B155" s="1" t="s">
        <v>26</v>
      </c>
      <c r="C155" s="1" t="s">
        <v>27</v>
      </c>
      <c r="D155" s="1" t="s">
        <v>28</v>
      </c>
      <c r="E155" s="1" t="s">
        <v>21</v>
      </c>
      <c r="F155" s="1" t="s">
        <v>53</v>
      </c>
      <c r="G155">
        <v>1648</v>
      </c>
      <c r="H155">
        <v>6</v>
      </c>
      <c r="I155">
        <v>4944</v>
      </c>
      <c r="J155">
        <v>103824</v>
      </c>
      <c r="K155" s="1" t="s">
        <v>63</v>
      </c>
      <c r="L155" s="2">
        <v>0.76597222222222228</v>
      </c>
      <c r="M155" s="1" t="s">
        <v>24</v>
      </c>
      <c r="N155">
        <v>9888</v>
      </c>
      <c r="O155">
        <v>4761904762</v>
      </c>
      <c r="P155">
        <v>4944</v>
      </c>
      <c r="Q155">
        <v>99</v>
      </c>
    </row>
    <row r="156" spans="1:17" x14ac:dyDescent="0.25">
      <c r="A156" s="1" t="s">
        <v>262</v>
      </c>
      <c r="B156" s="1" t="s">
        <v>26</v>
      </c>
      <c r="C156" s="1" t="s">
        <v>27</v>
      </c>
      <c r="D156" s="1" t="s">
        <v>28</v>
      </c>
      <c r="E156" s="1" t="s">
        <v>21</v>
      </c>
      <c r="F156" s="1" t="s">
        <v>40</v>
      </c>
      <c r="G156">
        <v>8097</v>
      </c>
      <c r="H156">
        <v>8</v>
      </c>
      <c r="I156">
        <v>32388</v>
      </c>
      <c r="J156">
        <v>680148</v>
      </c>
      <c r="K156" s="1" t="s">
        <v>94</v>
      </c>
      <c r="L156" s="2">
        <v>0.54513888888888884</v>
      </c>
      <c r="M156" s="1" t="s">
        <v>31</v>
      </c>
      <c r="N156">
        <v>64776</v>
      </c>
      <c r="O156">
        <v>4761904762</v>
      </c>
      <c r="P156">
        <v>32388</v>
      </c>
      <c r="Q156">
        <v>93</v>
      </c>
    </row>
    <row r="157" spans="1:17" x14ac:dyDescent="0.25">
      <c r="A157" s="1" t="s">
        <v>263</v>
      </c>
      <c r="B157" s="1" t="s">
        <v>18</v>
      </c>
      <c r="C157" s="1" t="s">
        <v>19</v>
      </c>
      <c r="D157" s="1" t="s">
        <v>20</v>
      </c>
      <c r="E157" s="1" t="s">
        <v>33</v>
      </c>
      <c r="F157" s="1" t="s">
        <v>53</v>
      </c>
      <c r="G157">
        <v>9229</v>
      </c>
      <c r="H157">
        <v>5</v>
      </c>
      <c r="I157">
        <v>230725</v>
      </c>
      <c r="J157">
        <v>4845225</v>
      </c>
      <c r="K157" s="1" t="s">
        <v>54</v>
      </c>
      <c r="L157" s="2">
        <v>0.66319444444444442</v>
      </c>
      <c r="M157" s="1" t="s">
        <v>36</v>
      </c>
      <c r="N157">
        <v>46145</v>
      </c>
      <c r="O157">
        <v>4761904762</v>
      </c>
      <c r="P157">
        <v>230725</v>
      </c>
      <c r="Q157">
        <v>9</v>
      </c>
    </row>
    <row r="158" spans="1:17" x14ac:dyDescent="0.25">
      <c r="A158" s="1" t="s">
        <v>264</v>
      </c>
      <c r="B158" s="1" t="s">
        <v>51</v>
      </c>
      <c r="C158" s="1" t="s">
        <v>52</v>
      </c>
      <c r="D158" s="1" t="s">
        <v>20</v>
      </c>
      <c r="E158" s="1" t="s">
        <v>33</v>
      </c>
      <c r="F158" s="1" t="s">
        <v>29</v>
      </c>
      <c r="G158">
        <v>7217</v>
      </c>
      <c r="H158">
        <v>1</v>
      </c>
      <c r="I158">
        <v>36085</v>
      </c>
      <c r="J158">
        <v>757785</v>
      </c>
      <c r="K158" s="1" t="s">
        <v>265</v>
      </c>
      <c r="L158" s="2">
        <v>0.81944444444444442</v>
      </c>
      <c r="M158" s="1" t="s">
        <v>31</v>
      </c>
      <c r="N158">
        <v>7217</v>
      </c>
      <c r="O158">
        <v>4761904762</v>
      </c>
      <c r="P158">
        <v>36085</v>
      </c>
      <c r="Q158">
        <v>61</v>
      </c>
    </row>
    <row r="159" spans="1:17" x14ac:dyDescent="0.25">
      <c r="A159" s="1" t="s">
        <v>266</v>
      </c>
      <c r="B159" s="1" t="s">
        <v>51</v>
      </c>
      <c r="C159" s="1" t="s">
        <v>52</v>
      </c>
      <c r="D159" s="1" t="s">
        <v>28</v>
      </c>
      <c r="E159" s="1" t="s">
        <v>33</v>
      </c>
      <c r="F159" s="1" t="s">
        <v>34</v>
      </c>
      <c r="G159">
        <v>5028</v>
      </c>
      <c r="H159">
        <v>5</v>
      </c>
      <c r="I159">
        <v>1257</v>
      </c>
      <c r="J159">
        <v>26397</v>
      </c>
      <c r="K159" s="1" t="s">
        <v>128</v>
      </c>
      <c r="L159" s="2">
        <v>0.58194444444444449</v>
      </c>
      <c r="M159" s="1" t="s">
        <v>24</v>
      </c>
      <c r="N159">
        <v>2514</v>
      </c>
      <c r="O159">
        <v>4761904762</v>
      </c>
      <c r="P159">
        <v>1257</v>
      </c>
      <c r="Q159">
        <v>97</v>
      </c>
    </row>
    <row r="160" spans="1:17" x14ac:dyDescent="0.25">
      <c r="A160" s="1" t="s">
        <v>267</v>
      </c>
      <c r="B160" s="1" t="s">
        <v>51</v>
      </c>
      <c r="C160" s="1" t="s">
        <v>52</v>
      </c>
      <c r="D160" s="1" t="s">
        <v>20</v>
      </c>
      <c r="E160" s="1" t="s">
        <v>33</v>
      </c>
      <c r="F160" s="1" t="s">
        <v>22</v>
      </c>
      <c r="G160">
        <v>9722</v>
      </c>
      <c r="H160">
        <v>9</v>
      </c>
      <c r="I160">
        <v>43749</v>
      </c>
      <c r="J160">
        <v>918729</v>
      </c>
      <c r="K160" s="1" t="s">
        <v>268</v>
      </c>
      <c r="L160" s="2">
        <v>0.61319444444444449</v>
      </c>
      <c r="M160" s="1" t="s">
        <v>24</v>
      </c>
      <c r="N160">
        <v>87498</v>
      </c>
      <c r="O160">
        <v>4761904762</v>
      </c>
      <c r="P160">
        <v>43749</v>
      </c>
      <c r="Q160">
        <v>6</v>
      </c>
    </row>
    <row r="161" spans="1:17" x14ac:dyDescent="0.25">
      <c r="A161" s="1" t="s">
        <v>269</v>
      </c>
      <c r="B161" s="1" t="s">
        <v>51</v>
      </c>
      <c r="C161" s="1" t="s">
        <v>52</v>
      </c>
      <c r="D161" s="1" t="s">
        <v>28</v>
      </c>
      <c r="E161" s="1" t="s">
        <v>33</v>
      </c>
      <c r="F161" s="1" t="s">
        <v>40</v>
      </c>
      <c r="G161">
        <v>9339</v>
      </c>
      <c r="H161">
        <v>6</v>
      </c>
      <c r="I161">
        <v>28017</v>
      </c>
      <c r="J161">
        <v>588357</v>
      </c>
      <c r="K161" s="1" t="s">
        <v>132</v>
      </c>
      <c r="L161" s="2">
        <v>0.8041666666666667</v>
      </c>
      <c r="M161" s="1" t="s">
        <v>24</v>
      </c>
      <c r="N161">
        <v>56034</v>
      </c>
      <c r="O161">
        <v>4761904762</v>
      </c>
      <c r="P161">
        <v>28017</v>
      </c>
      <c r="Q161">
        <v>10</v>
      </c>
    </row>
    <row r="162" spans="1:17" x14ac:dyDescent="0.25">
      <c r="A162" s="1" t="s">
        <v>270</v>
      </c>
      <c r="B162" s="1" t="s">
        <v>26</v>
      </c>
      <c r="C162" s="1" t="s">
        <v>27</v>
      </c>
      <c r="D162" s="1" t="s">
        <v>28</v>
      </c>
      <c r="E162" s="1" t="s">
        <v>21</v>
      </c>
      <c r="F162" s="1" t="s">
        <v>53</v>
      </c>
      <c r="G162">
        <v>4318</v>
      </c>
      <c r="H162">
        <v>8</v>
      </c>
      <c r="I162">
        <v>17272</v>
      </c>
      <c r="J162">
        <v>362712</v>
      </c>
      <c r="K162" s="1" t="s">
        <v>214</v>
      </c>
      <c r="L162" s="2">
        <v>0.81874999999999998</v>
      </c>
      <c r="M162" s="1" t="s">
        <v>36</v>
      </c>
      <c r="N162">
        <v>34544</v>
      </c>
      <c r="O162">
        <v>4761904762</v>
      </c>
      <c r="P162">
        <v>17272</v>
      </c>
      <c r="Q162">
        <v>83</v>
      </c>
    </row>
    <row r="163" spans="1:17" x14ac:dyDescent="0.25">
      <c r="A163" s="1" t="s">
        <v>271</v>
      </c>
      <c r="B163" s="1" t="s">
        <v>18</v>
      </c>
      <c r="C163" s="1" t="s">
        <v>19</v>
      </c>
      <c r="D163" s="1" t="s">
        <v>28</v>
      </c>
      <c r="E163" s="1" t="s">
        <v>33</v>
      </c>
      <c r="F163" s="1" t="s">
        <v>40</v>
      </c>
      <c r="G163">
        <v>6369</v>
      </c>
      <c r="H163">
        <v>1</v>
      </c>
      <c r="I163">
        <v>31845</v>
      </c>
      <c r="J163">
        <v>668745</v>
      </c>
      <c r="K163" s="1" t="s">
        <v>45</v>
      </c>
      <c r="L163" s="2">
        <v>0.68125000000000002</v>
      </c>
      <c r="M163" s="1" t="s">
        <v>31</v>
      </c>
      <c r="N163">
        <v>6369</v>
      </c>
      <c r="O163">
        <v>4761904762</v>
      </c>
      <c r="P163">
        <v>31845</v>
      </c>
      <c r="Q163">
        <v>6</v>
      </c>
    </row>
    <row r="164" spans="1:17" x14ac:dyDescent="0.25">
      <c r="A164" s="1" t="s">
        <v>272</v>
      </c>
      <c r="B164" s="1" t="s">
        <v>18</v>
      </c>
      <c r="C164" s="1" t="s">
        <v>19</v>
      </c>
      <c r="D164" s="1" t="s">
        <v>28</v>
      </c>
      <c r="E164" s="1" t="s">
        <v>33</v>
      </c>
      <c r="F164" s="1" t="s">
        <v>53</v>
      </c>
      <c r="G164">
        <v>4579</v>
      </c>
      <c r="H164">
        <v>7</v>
      </c>
      <c r="I164">
        <v>160265</v>
      </c>
      <c r="J164">
        <v>3365565</v>
      </c>
      <c r="K164" s="1" t="s">
        <v>147</v>
      </c>
      <c r="L164" s="2">
        <v>0.82222222222222219</v>
      </c>
      <c r="M164" s="1" t="s">
        <v>36</v>
      </c>
      <c r="N164">
        <v>32053</v>
      </c>
      <c r="O164">
        <v>4761904762</v>
      </c>
      <c r="P164">
        <v>160265</v>
      </c>
      <c r="Q164">
        <v>7</v>
      </c>
    </row>
    <row r="165" spans="1:17" x14ac:dyDescent="0.25">
      <c r="A165" s="1" t="s">
        <v>273</v>
      </c>
      <c r="B165" s="1" t="s">
        <v>26</v>
      </c>
      <c r="C165" s="1" t="s">
        <v>27</v>
      </c>
      <c r="D165" s="1" t="s">
        <v>28</v>
      </c>
      <c r="E165" s="1" t="s">
        <v>33</v>
      </c>
      <c r="F165" s="1" t="s">
        <v>40</v>
      </c>
      <c r="G165">
        <v>764</v>
      </c>
      <c r="H165">
        <v>2</v>
      </c>
      <c r="I165">
        <v>764</v>
      </c>
      <c r="J165">
        <v>16044</v>
      </c>
      <c r="K165" s="1" t="s">
        <v>274</v>
      </c>
      <c r="L165" s="2">
        <v>0.8208333333333333</v>
      </c>
      <c r="M165" s="1" t="s">
        <v>24</v>
      </c>
      <c r="N165">
        <v>1528</v>
      </c>
      <c r="O165">
        <v>4761904762</v>
      </c>
      <c r="P165">
        <v>764</v>
      </c>
      <c r="Q165">
        <v>65</v>
      </c>
    </row>
    <row r="166" spans="1:17" x14ac:dyDescent="0.25">
      <c r="A166" s="1" t="s">
        <v>275</v>
      </c>
      <c r="B166" s="1" t="s">
        <v>51</v>
      </c>
      <c r="C166" s="1" t="s">
        <v>52</v>
      </c>
      <c r="D166" s="1" t="s">
        <v>28</v>
      </c>
      <c r="E166" s="1" t="s">
        <v>33</v>
      </c>
      <c r="F166" s="1" t="s">
        <v>53</v>
      </c>
      <c r="G166">
        <v>399</v>
      </c>
      <c r="H166">
        <v>10</v>
      </c>
      <c r="I166">
        <v>1995</v>
      </c>
      <c r="J166">
        <v>41895</v>
      </c>
      <c r="K166" s="1" t="s">
        <v>54</v>
      </c>
      <c r="L166" s="2">
        <v>0.64166666666666672</v>
      </c>
      <c r="M166" s="1" t="s">
        <v>36</v>
      </c>
      <c r="N166">
        <v>399</v>
      </c>
      <c r="O166">
        <v>4761904762</v>
      </c>
      <c r="P166">
        <v>1995</v>
      </c>
      <c r="Q166">
        <v>59</v>
      </c>
    </row>
    <row r="167" spans="1:17" x14ac:dyDescent="0.25">
      <c r="A167" s="1" t="s">
        <v>276</v>
      </c>
      <c r="B167" s="1" t="s">
        <v>51</v>
      </c>
      <c r="C167" s="1" t="s">
        <v>52</v>
      </c>
      <c r="D167" s="1" t="s">
        <v>20</v>
      </c>
      <c r="E167" s="1" t="s">
        <v>33</v>
      </c>
      <c r="F167" s="1" t="s">
        <v>22</v>
      </c>
      <c r="G167">
        <v>4257</v>
      </c>
      <c r="H167">
        <v>8</v>
      </c>
      <c r="I167">
        <v>17028</v>
      </c>
      <c r="J167">
        <v>357588</v>
      </c>
      <c r="K167" s="1" t="s">
        <v>45</v>
      </c>
      <c r="L167" s="2">
        <v>0.59166666666666667</v>
      </c>
      <c r="M167" s="1" t="s">
        <v>24</v>
      </c>
      <c r="N167">
        <v>34056</v>
      </c>
      <c r="O167">
        <v>4761904762</v>
      </c>
      <c r="P167">
        <v>17028</v>
      </c>
      <c r="Q167">
        <v>56</v>
      </c>
    </row>
    <row r="168" spans="1:17" x14ac:dyDescent="0.25">
      <c r="A168" s="1" t="s">
        <v>277</v>
      </c>
      <c r="B168" s="1" t="s">
        <v>26</v>
      </c>
      <c r="C168" s="1" t="s">
        <v>27</v>
      </c>
      <c r="D168" s="1" t="s">
        <v>28</v>
      </c>
      <c r="E168" s="1" t="s">
        <v>33</v>
      </c>
      <c r="F168" s="1" t="s">
        <v>34</v>
      </c>
      <c r="G168">
        <v>9558</v>
      </c>
      <c r="H168">
        <v>10</v>
      </c>
      <c r="I168">
        <v>4779</v>
      </c>
      <c r="J168">
        <v>100359</v>
      </c>
      <c r="K168" s="1" t="s">
        <v>219</v>
      </c>
      <c r="L168" s="2">
        <v>0.56388888888888888</v>
      </c>
      <c r="M168" s="1" t="s">
        <v>31</v>
      </c>
      <c r="N168">
        <v>9558</v>
      </c>
      <c r="O168">
        <v>4761904762</v>
      </c>
      <c r="P168">
        <v>4779</v>
      </c>
      <c r="Q168">
        <v>48</v>
      </c>
    </row>
    <row r="169" spans="1:17" x14ac:dyDescent="0.25">
      <c r="A169" s="1" t="s">
        <v>278</v>
      </c>
      <c r="B169" s="1" t="s">
        <v>18</v>
      </c>
      <c r="C169" s="1" t="s">
        <v>19</v>
      </c>
      <c r="D169" s="1" t="s">
        <v>28</v>
      </c>
      <c r="E169" s="1" t="s">
        <v>33</v>
      </c>
      <c r="F169" s="1" t="s">
        <v>56</v>
      </c>
      <c r="G169">
        <v>9898</v>
      </c>
      <c r="H169">
        <v>10</v>
      </c>
      <c r="I169">
        <v>4949</v>
      </c>
      <c r="J169">
        <v>103929</v>
      </c>
      <c r="K169" s="1" t="s">
        <v>41</v>
      </c>
      <c r="L169" s="2">
        <v>0.68055555555555558</v>
      </c>
      <c r="M169" s="1" t="s">
        <v>36</v>
      </c>
      <c r="N169">
        <v>9898</v>
      </c>
      <c r="O169">
        <v>4761904762</v>
      </c>
      <c r="P169">
        <v>4949</v>
      </c>
      <c r="Q169">
        <v>87</v>
      </c>
    </row>
    <row r="170" spans="1:17" x14ac:dyDescent="0.25">
      <c r="A170" s="1" t="s">
        <v>279</v>
      </c>
      <c r="B170" s="1" t="s">
        <v>18</v>
      </c>
      <c r="C170" s="1" t="s">
        <v>19</v>
      </c>
      <c r="D170" s="1" t="s">
        <v>28</v>
      </c>
      <c r="E170" s="1" t="s">
        <v>33</v>
      </c>
      <c r="F170" s="1" t="s">
        <v>53</v>
      </c>
      <c r="G170">
        <v>5128</v>
      </c>
      <c r="H170">
        <v>6</v>
      </c>
      <c r="I170">
        <v>15384</v>
      </c>
      <c r="J170">
        <v>323064</v>
      </c>
      <c r="K170" s="1" t="s">
        <v>214</v>
      </c>
      <c r="L170" s="2">
        <v>0.68819444444444444</v>
      </c>
      <c r="M170" s="1" t="s">
        <v>31</v>
      </c>
      <c r="N170">
        <v>30768</v>
      </c>
      <c r="O170">
        <v>4761904762</v>
      </c>
      <c r="P170">
        <v>15384</v>
      </c>
      <c r="Q170">
        <v>65</v>
      </c>
    </row>
    <row r="171" spans="1:17" x14ac:dyDescent="0.25">
      <c r="A171" s="1" t="s">
        <v>280</v>
      </c>
      <c r="B171" s="1" t="s">
        <v>18</v>
      </c>
      <c r="C171" s="1" t="s">
        <v>19</v>
      </c>
      <c r="D171" s="1" t="s">
        <v>20</v>
      </c>
      <c r="E171" s="1" t="s">
        <v>33</v>
      </c>
      <c r="F171" s="1" t="s">
        <v>40</v>
      </c>
      <c r="G171">
        <v>6952</v>
      </c>
      <c r="H171">
        <v>7</v>
      </c>
      <c r="I171">
        <v>24332</v>
      </c>
      <c r="J171">
        <v>510972</v>
      </c>
      <c r="K171" s="1" t="s">
        <v>199</v>
      </c>
      <c r="L171" s="2">
        <v>0.63194444444444442</v>
      </c>
      <c r="M171" s="1" t="s">
        <v>36</v>
      </c>
      <c r="N171">
        <v>48664</v>
      </c>
      <c r="O171">
        <v>4761904762</v>
      </c>
      <c r="P171">
        <v>24332</v>
      </c>
      <c r="Q171">
        <v>85</v>
      </c>
    </row>
    <row r="172" spans="1:17" x14ac:dyDescent="0.25">
      <c r="A172" s="1" t="s">
        <v>281</v>
      </c>
      <c r="B172" s="1" t="s">
        <v>18</v>
      </c>
      <c r="C172" s="1" t="s">
        <v>19</v>
      </c>
      <c r="D172" s="1" t="s">
        <v>28</v>
      </c>
      <c r="E172" s="1" t="s">
        <v>33</v>
      </c>
      <c r="F172" s="1" t="s">
        <v>22</v>
      </c>
      <c r="G172">
        <v>7001</v>
      </c>
      <c r="H172">
        <v>5</v>
      </c>
      <c r="I172">
        <v>175025</v>
      </c>
      <c r="J172">
        <v>3675525</v>
      </c>
      <c r="K172" s="1" t="s">
        <v>282</v>
      </c>
      <c r="L172" s="2">
        <v>0.48333333333333334</v>
      </c>
      <c r="M172" s="1" t="s">
        <v>24</v>
      </c>
      <c r="N172">
        <v>35005</v>
      </c>
      <c r="O172">
        <v>4761904762</v>
      </c>
      <c r="P172">
        <v>175025</v>
      </c>
      <c r="Q172">
        <v>55</v>
      </c>
    </row>
    <row r="173" spans="1:17" x14ac:dyDescent="0.25">
      <c r="A173" s="1" t="s">
        <v>283</v>
      </c>
      <c r="B173" s="1" t="s">
        <v>51</v>
      </c>
      <c r="C173" s="1" t="s">
        <v>52</v>
      </c>
      <c r="D173" s="1" t="s">
        <v>20</v>
      </c>
      <c r="E173" s="1" t="s">
        <v>33</v>
      </c>
      <c r="F173" s="1" t="s">
        <v>53</v>
      </c>
      <c r="G173">
        <v>8005</v>
      </c>
      <c r="H173">
        <v>5</v>
      </c>
      <c r="I173">
        <v>200125</v>
      </c>
      <c r="J173">
        <v>4202625</v>
      </c>
      <c r="K173" s="1" t="s">
        <v>171</v>
      </c>
      <c r="L173" s="2">
        <v>0.53125</v>
      </c>
      <c r="M173" s="1" t="s">
        <v>36</v>
      </c>
      <c r="N173">
        <v>40025</v>
      </c>
      <c r="O173">
        <v>4761904762</v>
      </c>
      <c r="P173">
        <v>200125</v>
      </c>
      <c r="Q173">
        <v>94</v>
      </c>
    </row>
    <row r="174" spans="1:17" x14ac:dyDescent="0.25">
      <c r="A174" s="1" t="s">
        <v>284</v>
      </c>
      <c r="B174" s="1" t="s">
        <v>26</v>
      </c>
      <c r="C174" s="1" t="s">
        <v>27</v>
      </c>
      <c r="D174" s="1" t="s">
        <v>28</v>
      </c>
      <c r="E174" s="1" t="s">
        <v>33</v>
      </c>
      <c r="F174" s="1" t="s">
        <v>29</v>
      </c>
      <c r="G174">
        <v>2085</v>
      </c>
      <c r="H174">
        <v>8</v>
      </c>
      <c r="I174">
        <v>834</v>
      </c>
      <c r="J174">
        <v>17514</v>
      </c>
      <c r="K174" s="1" t="s">
        <v>35</v>
      </c>
      <c r="L174" s="2">
        <v>0.80347222222222225</v>
      </c>
      <c r="M174" s="1" t="s">
        <v>31</v>
      </c>
      <c r="N174">
        <v>1668</v>
      </c>
      <c r="O174">
        <v>4761904762</v>
      </c>
      <c r="P174">
        <v>834</v>
      </c>
      <c r="Q174">
        <v>63</v>
      </c>
    </row>
    <row r="175" spans="1:17" x14ac:dyDescent="0.25">
      <c r="A175" s="1" t="s">
        <v>285</v>
      </c>
      <c r="B175" s="1" t="s">
        <v>51</v>
      </c>
      <c r="C175" s="1" t="s">
        <v>52</v>
      </c>
      <c r="D175" s="1" t="s">
        <v>20</v>
      </c>
      <c r="E175" s="1" t="s">
        <v>33</v>
      </c>
      <c r="F175" s="1" t="s">
        <v>29</v>
      </c>
      <c r="G175">
        <v>5289</v>
      </c>
      <c r="H175">
        <v>6</v>
      </c>
      <c r="I175">
        <v>15867</v>
      </c>
      <c r="J175">
        <v>333207</v>
      </c>
      <c r="K175" s="1" t="s">
        <v>214</v>
      </c>
      <c r="L175" s="2">
        <v>0.7319444444444444</v>
      </c>
      <c r="M175" s="1" t="s">
        <v>36</v>
      </c>
      <c r="N175">
        <v>31734</v>
      </c>
      <c r="O175">
        <v>4761904762</v>
      </c>
      <c r="P175">
        <v>15867</v>
      </c>
      <c r="Q175">
        <v>98</v>
      </c>
    </row>
    <row r="176" spans="1:17" x14ac:dyDescent="0.25">
      <c r="A176" s="1" t="s">
        <v>286</v>
      </c>
      <c r="B176" s="1" t="s">
        <v>51</v>
      </c>
      <c r="C176" s="1" t="s">
        <v>52</v>
      </c>
      <c r="D176" s="1" t="s">
        <v>28</v>
      </c>
      <c r="E176" s="1" t="s">
        <v>33</v>
      </c>
      <c r="F176" s="1" t="s">
        <v>53</v>
      </c>
      <c r="G176">
        <v>1979</v>
      </c>
      <c r="H176">
        <v>8</v>
      </c>
      <c r="I176">
        <v>7916</v>
      </c>
      <c r="J176">
        <v>166236</v>
      </c>
      <c r="K176" s="1" t="s">
        <v>241</v>
      </c>
      <c r="L176" s="2">
        <v>0.50277777777777777</v>
      </c>
      <c r="M176" s="1" t="s">
        <v>24</v>
      </c>
      <c r="N176">
        <v>15832</v>
      </c>
      <c r="O176">
        <v>4761904762</v>
      </c>
      <c r="P176">
        <v>7916</v>
      </c>
      <c r="Q176">
        <v>87</v>
      </c>
    </row>
    <row r="177" spans="1:17" x14ac:dyDescent="0.25">
      <c r="A177" s="1" t="s">
        <v>287</v>
      </c>
      <c r="B177" s="1" t="s">
        <v>18</v>
      </c>
      <c r="C177" s="1" t="s">
        <v>19</v>
      </c>
      <c r="D177" s="1" t="s">
        <v>20</v>
      </c>
      <c r="E177" s="1" t="s">
        <v>33</v>
      </c>
      <c r="F177" s="1" t="s">
        <v>34</v>
      </c>
      <c r="G177">
        <v>3384</v>
      </c>
      <c r="H177">
        <v>9</v>
      </c>
      <c r="I177">
        <v>15228</v>
      </c>
      <c r="J177">
        <v>319788</v>
      </c>
      <c r="K177" s="1" t="s">
        <v>288</v>
      </c>
      <c r="L177" s="2">
        <v>0.68125000000000002</v>
      </c>
      <c r="M177" s="1" t="s">
        <v>24</v>
      </c>
      <c r="N177">
        <v>30456</v>
      </c>
      <c r="O177">
        <v>4761904762</v>
      </c>
      <c r="P177">
        <v>15228</v>
      </c>
      <c r="Q177">
        <v>88</v>
      </c>
    </row>
    <row r="178" spans="1:17" x14ac:dyDescent="0.25">
      <c r="A178" s="1" t="s">
        <v>289</v>
      </c>
      <c r="B178" s="1" t="s">
        <v>18</v>
      </c>
      <c r="C178" s="1" t="s">
        <v>19</v>
      </c>
      <c r="D178" s="1" t="s">
        <v>20</v>
      </c>
      <c r="E178" s="1" t="s">
        <v>33</v>
      </c>
      <c r="F178" s="1" t="s">
        <v>53</v>
      </c>
      <c r="G178">
        <v>2217</v>
      </c>
      <c r="H178">
        <v>8</v>
      </c>
      <c r="I178">
        <v>8868</v>
      </c>
      <c r="J178">
        <v>186228</v>
      </c>
      <c r="K178" s="1" t="s">
        <v>35</v>
      </c>
      <c r="L178" s="2">
        <v>0.70902777777777781</v>
      </c>
      <c r="M178" s="1" t="s">
        <v>36</v>
      </c>
      <c r="N178">
        <v>17736</v>
      </c>
      <c r="O178">
        <v>4761904762</v>
      </c>
      <c r="P178">
        <v>8868</v>
      </c>
      <c r="Q178">
        <v>96</v>
      </c>
    </row>
    <row r="179" spans="1:17" x14ac:dyDescent="0.25">
      <c r="A179" s="1" t="s">
        <v>290</v>
      </c>
      <c r="B179" s="1" t="s">
        <v>26</v>
      </c>
      <c r="C179" s="1" t="s">
        <v>27</v>
      </c>
      <c r="D179" s="1" t="s">
        <v>28</v>
      </c>
      <c r="E179" s="1" t="s">
        <v>21</v>
      </c>
      <c r="F179" s="1" t="s">
        <v>56</v>
      </c>
      <c r="G179">
        <v>2251</v>
      </c>
      <c r="H179">
        <v>7</v>
      </c>
      <c r="I179">
        <v>78785</v>
      </c>
      <c r="J179">
        <v>1654485</v>
      </c>
      <c r="K179" s="1" t="s">
        <v>291</v>
      </c>
      <c r="L179" s="2">
        <v>0.4513888888888889</v>
      </c>
      <c r="M179" s="1" t="s">
        <v>36</v>
      </c>
      <c r="N179">
        <v>15757</v>
      </c>
      <c r="O179">
        <v>4761904762</v>
      </c>
      <c r="P179">
        <v>78785</v>
      </c>
      <c r="Q179">
        <v>48</v>
      </c>
    </row>
    <row r="180" spans="1:17" x14ac:dyDescent="0.25">
      <c r="A180" s="1" t="s">
        <v>292</v>
      </c>
      <c r="B180" s="1" t="s">
        <v>18</v>
      </c>
      <c r="C180" s="1" t="s">
        <v>19</v>
      </c>
      <c r="D180" s="1" t="s">
        <v>28</v>
      </c>
      <c r="E180" s="1" t="s">
        <v>33</v>
      </c>
      <c r="F180" s="1" t="s">
        <v>53</v>
      </c>
      <c r="G180">
        <v>7388</v>
      </c>
      <c r="H180">
        <v>6</v>
      </c>
      <c r="I180">
        <v>22164</v>
      </c>
      <c r="J180">
        <v>465444</v>
      </c>
      <c r="K180" s="1" t="s">
        <v>103</v>
      </c>
      <c r="L180" s="2">
        <v>0.80277777777777781</v>
      </c>
      <c r="M180" s="1" t="s">
        <v>24</v>
      </c>
      <c r="N180">
        <v>44328</v>
      </c>
      <c r="O180">
        <v>4761904762</v>
      </c>
      <c r="P180">
        <v>22164</v>
      </c>
      <c r="Q180">
        <v>44</v>
      </c>
    </row>
    <row r="181" spans="1:17" x14ac:dyDescent="0.25">
      <c r="A181" s="1" t="s">
        <v>293</v>
      </c>
      <c r="B181" s="1" t="s">
        <v>26</v>
      </c>
      <c r="C181" s="1" t="s">
        <v>27</v>
      </c>
      <c r="D181" s="1" t="s">
        <v>20</v>
      </c>
      <c r="E181" s="1" t="s">
        <v>33</v>
      </c>
      <c r="F181" s="1" t="s">
        <v>22</v>
      </c>
      <c r="G181">
        <v>868</v>
      </c>
      <c r="H181">
        <v>3</v>
      </c>
      <c r="I181">
        <v>1302</v>
      </c>
      <c r="J181">
        <v>27342</v>
      </c>
      <c r="K181" s="1" t="s">
        <v>94</v>
      </c>
      <c r="L181" s="2">
        <v>0.69930555555555551</v>
      </c>
      <c r="M181" s="1" t="s">
        <v>24</v>
      </c>
      <c r="N181">
        <v>2604</v>
      </c>
      <c r="O181">
        <v>4761904762</v>
      </c>
      <c r="P181">
        <v>1302</v>
      </c>
      <c r="Q181">
        <v>99</v>
      </c>
    </row>
    <row r="182" spans="1:17" x14ac:dyDescent="0.25">
      <c r="A182" s="1" t="s">
        <v>294</v>
      </c>
      <c r="B182" s="1" t="s">
        <v>26</v>
      </c>
      <c r="C182" s="1" t="s">
        <v>27</v>
      </c>
      <c r="D182" s="1" t="s">
        <v>28</v>
      </c>
      <c r="E182" s="1" t="s">
        <v>33</v>
      </c>
      <c r="F182" s="1" t="s">
        <v>56</v>
      </c>
      <c r="G182">
        <v>6426</v>
      </c>
      <c r="H182">
        <v>7</v>
      </c>
      <c r="I182">
        <v>22491</v>
      </c>
      <c r="J182">
        <v>472311</v>
      </c>
      <c r="K182" s="1" t="s">
        <v>191</v>
      </c>
      <c r="L182" s="2">
        <v>0.41666666666666669</v>
      </c>
      <c r="M182" s="1" t="s">
        <v>31</v>
      </c>
      <c r="N182">
        <v>44982</v>
      </c>
      <c r="O182">
        <v>4761904762</v>
      </c>
      <c r="P182">
        <v>22491</v>
      </c>
      <c r="Q182">
        <v>57</v>
      </c>
    </row>
    <row r="183" spans="1:17" x14ac:dyDescent="0.25">
      <c r="A183" s="1" t="s">
        <v>295</v>
      </c>
      <c r="B183" s="1" t="s">
        <v>26</v>
      </c>
      <c r="C183" s="1" t="s">
        <v>27</v>
      </c>
      <c r="D183" s="1" t="s">
        <v>20</v>
      </c>
      <c r="E183" s="1" t="s">
        <v>33</v>
      </c>
      <c r="F183" s="1" t="s">
        <v>53</v>
      </c>
      <c r="G183">
        <v>3847</v>
      </c>
      <c r="H183">
        <v>8</v>
      </c>
      <c r="I183">
        <v>15388</v>
      </c>
      <c r="J183">
        <v>323148</v>
      </c>
      <c r="K183" s="1" t="s">
        <v>173</v>
      </c>
      <c r="L183" s="2">
        <v>0.49375000000000002</v>
      </c>
      <c r="M183" s="1" t="s">
        <v>31</v>
      </c>
      <c r="N183">
        <v>30776</v>
      </c>
      <c r="O183">
        <v>4761904762</v>
      </c>
      <c r="P183">
        <v>15388</v>
      </c>
      <c r="Q183">
        <v>77</v>
      </c>
    </row>
    <row r="184" spans="1:17" x14ac:dyDescent="0.25">
      <c r="A184" s="1" t="s">
        <v>296</v>
      </c>
      <c r="B184" s="1" t="s">
        <v>18</v>
      </c>
      <c r="C184" s="1" t="s">
        <v>19</v>
      </c>
      <c r="D184" s="1" t="s">
        <v>20</v>
      </c>
      <c r="E184" s="1" t="s">
        <v>33</v>
      </c>
      <c r="F184" s="1" t="s">
        <v>40</v>
      </c>
      <c r="G184">
        <v>155</v>
      </c>
      <c r="H184">
        <v>10</v>
      </c>
      <c r="I184">
        <v>775</v>
      </c>
      <c r="J184">
        <v>16275</v>
      </c>
      <c r="K184" s="1" t="s">
        <v>103</v>
      </c>
      <c r="L184" s="2">
        <v>0.4548611111111111</v>
      </c>
      <c r="M184" s="1" t="s">
        <v>24</v>
      </c>
      <c r="N184">
        <v>155</v>
      </c>
      <c r="O184">
        <v>4761904762</v>
      </c>
      <c r="P184">
        <v>775</v>
      </c>
      <c r="Q184">
        <v>8</v>
      </c>
    </row>
    <row r="185" spans="1:17" x14ac:dyDescent="0.25">
      <c r="A185" s="1" t="s">
        <v>297</v>
      </c>
      <c r="B185" s="1" t="s">
        <v>26</v>
      </c>
      <c r="C185" s="1" t="s">
        <v>27</v>
      </c>
      <c r="D185" s="1" t="s">
        <v>28</v>
      </c>
      <c r="E185" s="1" t="s">
        <v>33</v>
      </c>
      <c r="F185" s="1" t="s">
        <v>22</v>
      </c>
      <c r="G185">
        <v>3431</v>
      </c>
      <c r="H185">
        <v>8</v>
      </c>
      <c r="I185">
        <v>13724</v>
      </c>
      <c r="J185">
        <v>288204</v>
      </c>
      <c r="K185" s="1" t="s">
        <v>90</v>
      </c>
      <c r="L185" s="2">
        <v>0.625</v>
      </c>
      <c r="M185" s="1" t="s">
        <v>24</v>
      </c>
      <c r="N185">
        <v>27448</v>
      </c>
      <c r="O185">
        <v>4761904762</v>
      </c>
      <c r="P185">
        <v>13724</v>
      </c>
      <c r="Q185">
        <v>57</v>
      </c>
    </row>
    <row r="186" spans="1:17" x14ac:dyDescent="0.25">
      <c r="A186" s="1" t="s">
        <v>298</v>
      </c>
      <c r="B186" s="1" t="s">
        <v>18</v>
      </c>
      <c r="C186" s="1" t="s">
        <v>19</v>
      </c>
      <c r="D186" s="1" t="s">
        <v>28</v>
      </c>
      <c r="E186" s="1" t="s">
        <v>21</v>
      </c>
      <c r="F186" s="1" t="s">
        <v>40</v>
      </c>
      <c r="G186">
        <v>1234</v>
      </c>
      <c r="H186">
        <v>7</v>
      </c>
      <c r="I186">
        <v>4319</v>
      </c>
      <c r="J186">
        <v>90699</v>
      </c>
      <c r="K186" s="1" t="s">
        <v>111</v>
      </c>
      <c r="L186" s="2">
        <v>0.47152777777777777</v>
      </c>
      <c r="M186" s="1" t="s">
        <v>36</v>
      </c>
      <c r="N186">
        <v>8638</v>
      </c>
      <c r="O186">
        <v>4761904762</v>
      </c>
      <c r="P186">
        <v>4319</v>
      </c>
      <c r="Q186">
        <v>67</v>
      </c>
    </row>
    <row r="187" spans="1:17" x14ac:dyDescent="0.25">
      <c r="A187" s="1" t="s">
        <v>299</v>
      </c>
      <c r="B187" s="1" t="s">
        <v>51</v>
      </c>
      <c r="C187" s="1" t="s">
        <v>52</v>
      </c>
      <c r="D187" s="1" t="s">
        <v>20</v>
      </c>
      <c r="E187" s="1" t="s">
        <v>33</v>
      </c>
      <c r="F187" s="1" t="s">
        <v>53</v>
      </c>
      <c r="G187">
        <v>1808</v>
      </c>
      <c r="H187">
        <v>3</v>
      </c>
      <c r="I187">
        <v>2712</v>
      </c>
      <c r="J187">
        <v>56952</v>
      </c>
      <c r="K187" s="1" t="s">
        <v>77</v>
      </c>
      <c r="L187" s="2">
        <v>0.82361111111111107</v>
      </c>
      <c r="M187" s="1" t="s">
        <v>24</v>
      </c>
      <c r="N187">
        <v>5424</v>
      </c>
      <c r="O187">
        <v>4761904762</v>
      </c>
      <c r="P187">
        <v>2712</v>
      </c>
      <c r="Q187">
        <v>8</v>
      </c>
    </row>
    <row r="188" spans="1:17" x14ac:dyDescent="0.25">
      <c r="A188" s="1" t="s">
        <v>300</v>
      </c>
      <c r="B188" s="1" t="s">
        <v>51</v>
      </c>
      <c r="C188" s="1" t="s">
        <v>52</v>
      </c>
      <c r="D188" s="1" t="s">
        <v>20</v>
      </c>
      <c r="E188" s="1" t="s">
        <v>21</v>
      </c>
      <c r="F188" s="1" t="s">
        <v>34</v>
      </c>
      <c r="G188">
        <v>9449</v>
      </c>
      <c r="H188">
        <v>8</v>
      </c>
      <c r="I188">
        <v>37796</v>
      </c>
      <c r="J188">
        <v>793716</v>
      </c>
      <c r="K188" s="1" t="s">
        <v>35</v>
      </c>
      <c r="L188" s="2">
        <v>0.79166666666666663</v>
      </c>
      <c r="M188" s="1" t="s">
        <v>24</v>
      </c>
      <c r="N188">
        <v>75592</v>
      </c>
      <c r="O188">
        <v>4761904762</v>
      </c>
      <c r="P188">
        <v>37796</v>
      </c>
      <c r="Q188">
        <v>75</v>
      </c>
    </row>
    <row r="189" spans="1:17" x14ac:dyDescent="0.25">
      <c r="A189" s="1" t="s">
        <v>301</v>
      </c>
      <c r="B189" s="1" t="s">
        <v>51</v>
      </c>
      <c r="C189" s="1" t="s">
        <v>52</v>
      </c>
      <c r="D189" s="1" t="s">
        <v>20</v>
      </c>
      <c r="E189" s="1" t="s">
        <v>33</v>
      </c>
      <c r="F189" s="1" t="s">
        <v>34</v>
      </c>
      <c r="G189">
        <v>4647</v>
      </c>
      <c r="H189">
        <v>4</v>
      </c>
      <c r="I189">
        <v>9294</v>
      </c>
      <c r="J189">
        <v>195174</v>
      </c>
      <c r="K189" s="1" t="s">
        <v>41</v>
      </c>
      <c r="L189" s="2">
        <v>0.45347222222222222</v>
      </c>
      <c r="M189" s="1" t="s">
        <v>31</v>
      </c>
      <c r="N189">
        <v>18588</v>
      </c>
      <c r="O189">
        <v>4761904762</v>
      </c>
      <c r="P189">
        <v>9294</v>
      </c>
      <c r="Q189">
        <v>7</v>
      </c>
    </row>
    <row r="190" spans="1:17" x14ac:dyDescent="0.25">
      <c r="A190" s="1" t="s">
        <v>302</v>
      </c>
      <c r="B190" s="1" t="s">
        <v>18</v>
      </c>
      <c r="C190" s="1" t="s">
        <v>19</v>
      </c>
      <c r="D190" s="1" t="s">
        <v>28</v>
      </c>
      <c r="E190" s="1" t="s">
        <v>33</v>
      </c>
      <c r="F190" s="1" t="s">
        <v>34</v>
      </c>
      <c r="G190">
        <v>7407</v>
      </c>
      <c r="H190">
        <v>1</v>
      </c>
      <c r="I190">
        <v>37035</v>
      </c>
      <c r="J190">
        <v>777735</v>
      </c>
      <c r="K190" s="1" t="s">
        <v>119</v>
      </c>
      <c r="L190" s="2">
        <v>0.53472222222222221</v>
      </c>
      <c r="M190" s="1" t="s">
        <v>24</v>
      </c>
      <c r="N190">
        <v>7407</v>
      </c>
      <c r="O190">
        <v>4761904762</v>
      </c>
      <c r="P190">
        <v>37035</v>
      </c>
      <c r="Q190">
        <v>99</v>
      </c>
    </row>
    <row r="191" spans="1:17" x14ac:dyDescent="0.25">
      <c r="A191" s="1" t="s">
        <v>303</v>
      </c>
      <c r="B191" s="1" t="s">
        <v>26</v>
      </c>
      <c r="C191" s="1" t="s">
        <v>27</v>
      </c>
      <c r="D191" s="1" t="s">
        <v>28</v>
      </c>
      <c r="E191" s="1" t="s">
        <v>21</v>
      </c>
      <c r="F191" s="1" t="s">
        <v>34</v>
      </c>
      <c r="G191">
        <v>6981</v>
      </c>
      <c r="H191">
        <v>4</v>
      </c>
      <c r="I191">
        <v>13962</v>
      </c>
      <c r="J191">
        <v>293202</v>
      </c>
      <c r="K191" s="1" t="s">
        <v>94</v>
      </c>
      <c r="L191" s="2">
        <v>0.86805555555555558</v>
      </c>
      <c r="M191" s="1" t="s">
        <v>36</v>
      </c>
      <c r="N191">
        <v>27924</v>
      </c>
      <c r="O191">
        <v>4761904762</v>
      </c>
      <c r="P191">
        <v>13962</v>
      </c>
      <c r="Q191">
        <v>59</v>
      </c>
    </row>
    <row r="192" spans="1:17" x14ac:dyDescent="0.25">
      <c r="A192" s="1" t="s">
        <v>304</v>
      </c>
      <c r="B192" s="1" t="s">
        <v>51</v>
      </c>
      <c r="C192" s="1" t="s">
        <v>52</v>
      </c>
      <c r="D192" s="1" t="s">
        <v>28</v>
      </c>
      <c r="E192" s="1" t="s">
        <v>21</v>
      </c>
      <c r="F192" s="1" t="s">
        <v>34</v>
      </c>
      <c r="G192">
        <v>7704</v>
      </c>
      <c r="H192">
        <v>3</v>
      </c>
      <c r="I192">
        <v>11556</v>
      </c>
      <c r="J192">
        <v>242676</v>
      </c>
      <c r="K192" s="1" t="s">
        <v>156</v>
      </c>
      <c r="L192" s="2">
        <v>0.44374999999999998</v>
      </c>
      <c r="M192" s="1" t="s">
        <v>36</v>
      </c>
      <c r="N192">
        <v>23112</v>
      </c>
      <c r="O192">
        <v>4761904762</v>
      </c>
      <c r="P192">
        <v>11556</v>
      </c>
      <c r="Q192">
        <v>72</v>
      </c>
    </row>
    <row r="193" spans="1:17" x14ac:dyDescent="0.25">
      <c r="A193" s="1" t="s">
        <v>305</v>
      </c>
      <c r="B193" s="1" t="s">
        <v>51</v>
      </c>
      <c r="C193" s="1" t="s">
        <v>52</v>
      </c>
      <c r="D193" s="1" t="s">
        <v>28</v>
      </c>
      <c r="E193" s="1" t="s">
        <v>21</v>
      </c>
      <c r="F193" s="1" t="s">
        <v>56</v>
      </c>
      <c r="G193">
        <v>7352</v>
      </c>
      <c r="H193">
        <v>2</v>
      </c>
      <c r="I193">
        <v>7352</v>
      </c>
      <c r="J193">
        <v>154392</v>
      </c>
      <c r="K193" s="1" t="s">
        <v>67</v>
      </c>
      <c r="L193" s="2">
        <v>0.57013888888888886</v>
      </c>
      <c r="M193" s="1" t="s">
        <v>24</v>
      </c>
      <c r="N193">
        <v>14704</v>
      </c>
      <c r="O193">
        <v>4761904762</v>
      </c>
      <c r="P193">
        <v>7352</v>
      </c>
      <c r="Q193">
        <v>46</v>
      </c>
    </row>
    <row r="194" spans="1:17" x14ac:dyDescent="0.25">
      <c r="A194" s="1" t="s">
        <v>306</v>
      </c>
      <c r="B194" s="1" t="s">
        <v>26</v>
      </c>
      <c r="C194" s="1" t="s">
        <v>27</v>
      </c>
      <c r="D194" s="1" t="s">
        <v>28</v>
      </c>
      <c r="E194" s="1" t="s">
        <v>21</v>
      </c>
      <c r="F194" s="1" t="s">
        <v>53</v>
      </c>
      <c r="G194">
        <v>878</v>
      </c>
      <c r="H194">
        <v>9</v>
      </c>
      <c r="I194">
        <v>3951</v>
      </c>
      <c r="J194">
        <v>82971</v>
      </c>
      <c r="K194" s="1" t="s">
        <v>113</v>
      </c>
      <c r="L194" s="2">
        <v>0.79722222222222228</v>
      </c>
      <c r="M194" s="1" t="s">
        <v>31</v>
      </c>
      <c r="N194">
        <v>7902</v>
      </c>
      <c r="O194">
        <v>4761904762</v>
      </c>
      <c r="P194">
        <v>3951</v>
      </c>
      <c r="Q194">
        <v>92</v>
      </c>
    </row>
    <row r="195" spans="1:17" x14ac:dyDescent="0.25">
      <c r="A195" s="1" t="s">
        <v>307</v>
      </c>
      <c r="B195" s="1" t="s">
        <v>51</v>
      </c>
      <c r="C195" s="1" t="s">
        <v>52</v>
      </c>
      <c r="D195" s="1" t="s">
        <v>28</v>
      </c>
      <c r="E195" s="1" t="s">
        <v>33</v>
      </c>
      <c r="F195" s="1" t="s">
        <v>34</v>
      </c>
      <c r="G195">
        <v>2555</v>
      </c>
      <c r="H195">
        <v>4</v>
      </c>
      <c r="I195">
        <v>511</v>
      </c>
      <c r="J195">
        <v>10731</v>
      </c>
      <c r="K195" s="1" t="s">
        <v>171</v>
      </c>
      <c r="L195" s="2">
        <v>0.84930555555555554</v>
      </c>
      <c r="M195" s="1" t="s">
        <v>24</v>
      </c>
      <c r="N195">
        <v>1022</v>
      </c>
      <c r="O195">
        <v>4761904762</v>
      </c>
      <c r="P195">
        <v>511</v>
      </c>
      <c r="Q195">
        <v>57</v>
      </c>
    </row>
    <row r="196" spans="1:17" x14ac:dyDescent="0.25">
      <c r="A196" s="1" t="s">
        <v>308</v>
      </c>
      <c r="B196" s="1" t="s">
        <v>18</v>
      </c>
      <c r="C196" s="1" t="s">
        <v>19</v>
      </c>
      <c r="D196" s="1" t="s">
        <v>28</v>
      </c>
      <c r="E196" s="1" t="s">
        <v>33</v>
      </c>
      <c r="F196" s="1" t="s">
        <v>29</v>
      </c>
      <c r="G196">
        <v>3271</v>
      </c>
      <c r="H196">
        <v>5</v>
      </c>
      <c r="I196">
        <v>81775</v>
      </c>
      <c r="J196">
        <v>1717275</v>
      </c>
      <c r="K196" s="1" t="s">
        <v>121</v>
      </c>
      <c r="L196" s="2">
        <v>0.47916666666666669</v>
      </c>
      <c r="M196" s="1" t="s">
        <v>36</v>
      </c>
      <c r="N196">
        <v>16355</v>
      </c>
      <c r="O196">
        <v>4761904762</v>
      </c>
      <c r="P196">
        <v>81775</v>
      </c>
      <c r="Q196">
        <v>99</v>
      </c>
    </row>
    <row r="197" spans="1:17" x14ac:dyDescent="0.25">
      <c r="A197" s="1" t="s">
        <v>309</v>
      </c>
      <c r="B197" s="1" t="s">
        <v>26</v>
      </c>
      <c r="C197" s="1" t="s">
        <v>27</v>
      </c>
      <c r="D197" s="1" t="s">
        <v>20</v>
      </c>
      <c r="E197" s="1" t="s">
        <v>21</v>
      </c>
      <c r="F197" s="1" t="s">
        <v>56</v>
      </c>
      <c r="G197">
        <v>7429</v>
      </c>
      <c r="H197">
        <v>1</v>
      </c>
      <c r="I197">
        <v>37145</v>
      </c>
      <c r="J197">
        <v>780045</v>
      </c>
      <c r="K197" s="1" t="s">
        <v>162</v>
      </c>
      <c r="L197" s="2">
        <v>0.8125</v>
      </c>
      <c r="M197" s="1" t="s">
        <v>31</v>
      </c>
      <c r="N197">
        <v>7429</v>
      </c>
      <c r="O197">
        <v>4761904762</v>
      </c>
      <c r="P197">
        <v>37145</v>
      </c>
      <c r="Q197">
        <v>5</v>
      </c>
    </row>
    <row r="198" spans="1:17" x14ac:dyDescent="0.25">
      <c r="A198" s="1" t="s">
        <v>310</v>
      </c>
      <c r="B198" s="1" t="s">
        <v>26</v>
      </c>
      <c r="C198" s="1" t="s">
        <v>27</v>
      </c>
      <c r="D198" s="1" t="s">
        <v>20</v>
      </c>
      <c r="E198" s="1" t="s">
        <v>33</v>
      </c>
      <c r="F198" s="1" t="s">
        <v>22</v>
      </c>
      <c r="G198">
        <v>437</v>
      </c>
      <c r="H198">
        <v>2</v>
      </c>
      <c r="I198">
        <v>437</v>
      </c>
      <c r="J198">
        <v>9177</v>
      </c>
      <c r="K198" s="1" t="s">
        <v>195</v>
      </c>
      <c r="L198" s="2">
        <v>0.75208333333333333</v>
      </c>
      <c r="M198" s="1" t="s">
        <v>31</v>
      </c>
      <c r="N198">
        <v>874</v>
      </c>
      <c r="O198">
        <v>4761904762</v>
      </c>
      <c r="P198">
        <v>437</v>
      </c>
      <c r="Q198">
        <v>49</v>
      </c>
    </row>
    <row r="199" spans="1:17" x14ac:dyDescent="0.25">
      <c r="A199" s="1" t="s">
        <v>311</v>
      </c>
      <c r="B199" s="1" t="s">
        <v>18</v>
      </c>
      <c r="C199" s="1" t="s">
        <v>19</v>
      </c>
      <c r="D199" s="1" t="s">
        <v>28</v>
      </c>
      <c r="E199" s="1" t="s">
        <v>21</v>
      </c>
      <c r="F199" s="1" t="s">
        <v>34</v>
      </c>
      <c r="G199">
        <v>2529</v>
      </c>
      <c r="H199">
        <v>1</v>
      </c>
      <c r="I199">
        <v>12645</v>
      </c>
      <c r="J199">
        <v>265545</v>
      </c>
      <c r="K199" s="1" t="s">
        <v>103</v>
      </c>
      <c r="L199" s="2">
        <v>0.42569444444444443</v>
      </c>
      <c r="M199" s="1" t="s">
        <v>24</v>
      </c>
      <c r="N199">
        <v>2529</v>
      </c>
      <c r="O199">
        <v>4761904762</v>
      </c>
      <c r="P199">
        <v>12645</v>
      </c>
      <c r="Q199">
        <v>61</v>
      </c>
    </row>
    <row r="200" spans="1:17" x14ac:dyDescent="0.25">
      <c r="A200" s="1" t="s">
        <v>312</v>
      </c>
      <c r="B200" s="1" t="s">
        <v>26</v>
      </c>
      <c r="C200" s="1" t="s">
        <v>27</v>
      </c>
      <c r="D200" s="1" t="s">
        <v>28</v>
      </c>
      <c r="E200" s="1" t="s">
        <v>33</v>
      </c>
      <c r="F200" s="1" t="s">
        <v>22</v>
      </c>
      <c r="G200">
        <v>415</v>
      </c>
      <c r="H200">
        <v>4</v>
      </c>
      <c r="I200">
        <v>83</v>
      </c>
      <c r="J200">
        <v>1743</v>
      </c>
      <c r="K200" s="1" t="s">
        <v>137</v>
      </c>
      <c r="L200" s="2">
        <v>0.83194444444444449</v>
      </c>
      <c r="M200" s="1" t="s">
        <v>36</v>
      </c>
      <c r="N200">
        <v>166</v>
      </c>
      <c r="O200">
        <v>4761904762</v>
      </c>
      <c r="P200">
        <v>83</v>
      </c>
      <c r="Q200">
        <v>82</v>
      </c>
    </row>
    <row r="201" spans="1:17" x14ac:dyDescent="0.25">
      <c r="A201" s="1" t="s">
        <v>313</v>
      </c>
      <c r="B201" s="1" t="s">
        <v>26</v>
      </c>
      <c r="C201" s="1" t="s">
        <v>27</v>
      </c>
      <c r="D201" s="1" t="s">
        <v>20</v>
      </c>
      <c r="E201" s="1" t="s">
        <v>21</v>
      </c>
      <c r="F201" s="1" t="s">
        <v>53</v>
      </c>
      <c r="G201">
        <v>7139</v>
      </c>
      <c r="H201">
        <v>5</v>
      </c>
      <c r="I201">
        <v>178475</v>
      </c>
      <c r="J201">
        <v>3747975</v>
      </c>
      <c r="K201" s="1" t="s">
        <v>81</v>
      </c>
      <c r="L201" s="2">
        <v>0.83125000000000004</v>
      </c>
      <c r="M201" s="1" t="s">
        <v>36</v>
      </c>
      <c r="N201">
        <v>35695</v>
      </c>
      <c r="O201">
        <v>4761904762</v>
      </c>
      <c r="P201">
        <v>178475</v>
      </c>
      <c r="Q201">
        <v>55</v>
      </c>
    </row>
    <row r="202" spans="1:17" x14ac:dyDescent="0.25">
      <c r="A202" s="1" t="s">
        <v>314</v>
      </c>
      <c r="B202" s="1" t="s">
        <v>26</v>
      </c>
      <c r="C202" s="1" t="s">
        <v>27</v>
      </c>
      <c r="D202" s="1" t="s">
        <v>20</v>
      </c>
      <c r="E202" s="1" t="s">
        <v>21</v>
      </c>
      <c r="F202" s="1" t="s">
        <v>40</v>
      </c>
      <c r="G202">
        <v>1915</v>
      </c>
      <c r="H202">
        <v>6</v>
      </c>
      <c r="I202">
        <v>5745</v>
      </c>
      <c r="J202">
        <v>120645</v>
      </c>
      <c r="K202" s="1" t="s">
        <v>260</v>
      </c>
      <c r="L202" s="2">
        <v>0.41736111111111113</v>
      </c>
      <c r="M202" s="1" t="s">
        <v>36</v>
      </c>
      <c r="N202">
        <v>1149</v>
      </c>
      <c r="O202">
        <v>4761904762</v>
      </c>
      <c r="P202">
        <v>5745</v>
      </c>
      <c r="Q202">
        <v>68</v>
      </c>
    </row>
    <row r="203" spans="1:17" x14ac:dyDescent="0.25">
      <c r="A203" s="1" t="s">
        <v>315</v>
      </c>
      <c r="B203" s="1" t="s">
        <v>51</v>
      </c>
      <c r="C203" s="1" t="s">
        <v>52</v>
      </c>
      <c r="D203" s="1" t="s">
        <v>20</v>
      </c>
      <c r="E203" s="1" t="s">
        <v>21</v>
      </c>
      <c r="F203" s="1" t="s">
        <v>29</v>
      </c>
      <c r="G203">
        <v>5749</v>
      </c>
      <c r="H203">
        <v>4</v>
      </c>
      <c r="I203">
        <v>11498</v>
      </c>
      <c r="J203">
        <v>241458</v>
      </c>
      <c r="K203" s="1" t="s">
        <v>79</v>
      </c>
      <c r="L203" s="2">
        <v>0.49791666666666667</v>
      </c>
      <c r="M203" s="1" t="s">
        <v>31</v>
      </c>
      <c r="N203">
        <v>22996</v>
      </c>
      <c r="O203">
        <v>4761904762</v>
      </c>
      <c r="P203">
        <v>11498</v>
      </c>
      <c r="Q203">
        <v>66</v>
      </c>
    </row>
    <row r="204" spans="1:17" x14ac:dyDescent="0.25">
      <c r="A204" s="1" t="s">
        <v>316</v>
      </c>
      <c r="B204" s="1" t="s">
        <v>26</v>
      </c>
      <c r="C204" s="1" t="s">
        <v>27</v>
      </c>
      <c r="D204" s="1" t="s">
        <v>28</v>
      </c>
      <c r="E204" s="1" t="s">
        <v>33</v>
      </c>
      <c r="F204" s="1" t="s">
        <v>29</v>
      </c>
      <c r="G204">
        <v>6141</v>
      </c>
      <c r="H204">
        <v>7</v>
      </c>
      <c r="I204">
        <v>214935</v>
      </c>
      <c r="J204">
        <v>4513635</v>
      </c>
      <c r="K204" s="1" t="s">
        <v>317</v>
      </c>
      <c r="L204" s="2">
        <v>0.41805555555555557</v>
      </c>
      <c r="M204" s="1" t="s">
        <v>31</v>
      </c>
      <c r="N204">
        <v>42987</v>
      </c>
      <c r="O204">
        <v>4761904762</v>
      </c>
      <c r="P204">
        <v>214935</v>
      </c>
      <c r="Q204">
        <v>98</v>
      </c>
    </row>
    <row r="205" spans="1:17" x14ac:dyDescent="0.25">
      <c r="A205" s="1" t="s">
        <v>318</v>
      </c>
      <c r="B205" s="1" t="s">
        <v>51</v>
      </c>
      <c r="C205" s="1" t="s">
        <v>52</v>
      </c>
      <c r="D205" s="1" t="s">
        <v>20</v>
      </c>
      <c r="E205" s="1" t="s">
        <v>33</v>
      </c>
      <c r="F205" s="1" t="s">
        <v>22</v>
      </c>
      <c r="G205">
        <v>259</v>
      </c>
      <c r="H205">
        <v>10</v>
      </c>
      <c r="I205">
        <v>1295</v>
      </c>
      <c r="J205">
        <v>27195</v>
      </c>
      <c r="K205" s="1" t="s">
        <v>57</v>
      </c>
      <c r="L205" s="2">
        <v>0.61875000000000002</v>
      </c>
      <c r="M205" s="1" t="s">
        <v>24</v>
      </c>
      <c r="N205">
        <v>259</v>
      </c>
      <c r="O205">
        <v>4761904762</v>
      </c>
      <c r="P205">
        <v>1295</v>
      </c>
      <c r="Q205">
        <v>87</v>
      </c>
    </row>
    <row r="206" spans="1:17" x14ac:dyDescent="0.25">
      <c r="A206" s="1" t="s">
        <v>319</v>
      </c>
      <c r="B206" s="1" t="s">
        <v>51</v>
      </c>
      <c r="C206" s="1" t="s">
        <v>52</v>
      </c>
      <c r="D206" s="1" t="s">
        <v>20</v>
      </c>
      <c r="E206" s="1" t="s">
        <v>33</v>
      </c>
      <c r="F206" s="1" t="s">
        <v>34</v>
      </c>
      <c r="G206">
        <v>1777</v>
      </c>
      <c r="H206">
        <v>5</v>
      </c>
      <c r="I206">
        <v>44425</v>
      </c>
      <c r="J206">
        <v>932925</v>
      </c>
      <c r="K206" s="1" t="s">
        <v>139</v>
      </c>
      <c r="L206" s="2">
        <v>0.52916666666666667</v>
      </c>
      <c r="M206" s="1" t="s">
        <v>36</v>
      </c>
      <c r="N206">
        <v>8885</v>
      </c>
      <c r="O206">
        <v>4761904762</v>
      </c>
      <c r="P206">
        <v>44425</v>
      </c>
      <c r="Q206">
        <v>54</v>
      </c>
    </row>
    <row r="207" spans="1:17" x14ac:dyDescent="0.25">
      <c r="A207" s="1" t="s">
        <v>320</v>
      </c>
      <c r="B207" s="1" t="s">
        <v>18</v>
      </c>
      <c r="C207" s="1" t="s">
        <v>19</v>
      </c>
      <c r="D207" s="1" t="s">
        <v>28</v>
      </c>
      <c r="E207" s="1" t="s">
        <v>21</v>
      </c>
      <c r="F207" s="1" t="s">
        <v>22</v>
      </c>
      <c r="G207">
        <v>2303</v>
      </c>
      <c r="H207">
        <v>9</v>
      </c>
      <c r="I207">
        <v>103635</v>
      </c>
      <c r="J207">
        <v>2176335</v>
      </c>
      <c r="K207" s="1" t="s">
        <v>282</v>
      </c>
      <c r="L207" s="2">
        <v>0.50138888888888888</v>
      </c>
      <c r="M207" s="1" t="s">
        <v>24</v>
      </c>
      <c r="N207">
        <v>20727</v>
      </c>
      <c r="O207">
        <v>4761904762</v>
      </c>
      <c r="P207">
        <v>103635</v>
      </c>
      <c r="Q207">
        <v>79</v>
      </c>
    </row>
    <row r="208" spans="1:17" x14ac:dyDescent="0.25">
      <c r="A208" s="1" t="s">
        <v>321</v>
      </c>
      <c r="B208" s="1" t="s">
        <v>26</v>
      </c>
      <c r="C208" s="1" t="s">
        <v>27</v>
      </c>
      <c r="D208" s="1" t="s">
        <v>20</v>
      </c>
      <c r="E208" s="1" t="s">
        <v>21</v>
      </c>
      <c r="F208" s="1" t="s">
        <v>29</v>
      </c>
      <c r="G208">
        <v>6665</v>
      </c>
      <c r="H208">
        <v>9</v>
      </c>
      <c r="I208">
        <v>299925</v>
      </c>
      <c r="J208">
        <v>6298425</v>
      </c>
      <c r="K208" s="1" t="s">
        <v>265</v>
      </c>
      <c r="L208" s="2">
        <v>0.7631944444444444</v>
      </c>
      <c r="M208" s="1" t="s">
        <v>36</v>
      </c>
      <c r="N208">
        <v>59985</v>
      </c>
      <c r="O208">
        <v>4761904762</v>
      </c>
      <c r="P208">
        <v>299925</v>
      </c>
      <c r="Q208">
        <v>97</v>
      </c>
    </row>
    <row r="209" spans="1:17" x14ac:dyDescent="0.25">
      <c r="A209" s="1" t="s">
        <v>322</v>
      </c>
      <c r="B209" s="1" t="s">
        <v>26</v>
      </c>
      <c r="C209" s="1" t="s">
        <v>27</v>
      </c>
      <c r="D209" s="1" t="s">
        <v>20</v>
      </c>
      <c r="E209" s="1" t="s">
        <v>21</v>
      </c>
      <c r="F209" s="1" t="s">
        <v>34</v>
      </c>
      <c r="G209">
        <v>2853</v>
      </c>
      <c r="H209">
        <v>10</v>
      </c>
      <c r="I209">
        <v>14265</v>
      </c>
      <c r="J209">
        <v>299565</v>
      </c>
      <c r="K209" s="1" t="s">
        <v>323</v>
      </c>
      <c r="L209" s="2">
        <v>0.73472222222222228</v>
      </c>
      <c r="M209" s="1" t="s">
        <v>24</v>
      </c>
      <c r="N209">
        <v>2853</v>
      </c>
      <c r="O209">
        <v>4761904762</v>
      </c>
      <c r="P209">
        <v>14265</v>
      </c>
      <c r="Q209">
        <v>78</v>
      </c>
    </row>
    <row r="210" spans="1:17" x14ac:dyDescent="0.25">
      <c r="A210" s="1" t="s">
        <v>324</v>
      </c>
      <c r="B210" s="1" t="s">
        <v>51</v>
      </c>
      <c r="C210" s="1" t="s">
        <v>52</v>
      </c>
      <c r="D210" s="1" t="s">
        <v>28</v>
      </c>
      <c r="E210" s="1" t="s">
        <v>21</v>
      </c>
      <c r="F210" s="1" t="s">
        <v>56</v>
      </c>
      <c r="G210">
        <v>3037</v>
      </c>
      <c r="H210">
        <v>3</v>
      </c>
      <c r="I210">
        <v>45555</v>
      </c>
      <c r="J210">
        <v>956655</v>
      </c>
      <c r="K210" s="1" t="s">
        <v>201</v>
      </c>
      <c r="L210" s="2">
        <v>0.57013888888888886</v>
      </c>
      <c r="M210" s="1" t="s">
        <v>24</v>
      </c>
      <c r="N210">
        <v>9111</v>
      </c>
      <c r="O210">
        <v>4761904762</v>
      </c>
      <c r="P210">
        <v>45555</v>
      </c>
      <c r="Q210">
        <v>51</v>
      </c>
    </row>
    <row r="211" spans="1:17" x14ac:dyDescent="0.25">
      <c r="A211" s="1" t="s">
        <v>325</v>
      </c>
      <c r="B211" s="1" t="s">
        <v>51</v>
      </c>
      <c r="C211" s="1" t="s">
        <v>52</v>
      </c>
      <c r="D211" s="1" t="s">
        <v>28</v>
      </c>
      <c r="E211" s="1" t="s">
        <v>21</v>
      </c>
      <c r="F211" s="1" t="s">
        <v>29</v>
      </c>
      <c r="G211">
        <v>9973</v>
      </c>
      <c r="H211">
        <v>9</v>
      </c>
      <c r="I211">
        <v>448785</v>
      </c>
      <c r="J211">
        <v>9424485</v>
      </c>
      <c r="K211" s="1" t="s">
        <v>83</v>
      </c>
      <c r="L211" s="2">
        <v>0.8208333333333333</v>
      </c>
      <c r="M211" s="1" t="s">
        <v>36</v>
      </c>
      <c r="N211">
        <v>89757</v>
      </c>
      <c r="O211">
        <v>4761904762</v>
      </c>
      <c r="P211">
        <v>448785</v>
      </c>
      <c r="Q211">
        <v>65</v>
      </c>
    </row>
    <row r="212" spans="1:17" x14ac:dyDescent="0.25">
      <c r="A212" s="1" t="s">
        <v>326</v>
      </c>
      <c r="B212" s="1" t="s">
        <v>18</v>
      </c>
      <c r="C212" s="1" t="s">
        <v>19</v>
      </c>
      <c r="D212" s="1" t="s">
        <v>28</v>
      </c>
      <c r="E212" s="1" t="s">
        <v>33</v>
      </c>
      <c r="F212" s="1" t="s">
        <v>29</v>
      </c>
      <c r="G212">
        <v>2623</v>
      </c>
      <c r="H212">
        <v>9</v>
      </c>
      <c r="I212">
        <v>118035</v>
      </c>
      <c r="J212">
        <v>2478735</v>
      </c>
      <c r="K212" s="1" t="s">
        <v>90</v>
      </c>
      <c r="L212" s="2">
        <v>0.85</v>
      </c>
      <c r="M212" s="1" t="s">
        <v>24</v>
      </c>
      <c r="N212">
        <v>23607</v>
      </c>
      <c r="O212">
        <v>4761904762</v>
      </c>
      <c r="P212">
        <v>118035</v>
      </c>
      <c r="Q212">
        <v>59</v>
      </c>
    </row>
    <row r="213" spans="1:17" x14ac:dyDescent="0.25">
      <c r="A213" s="1" t="s">
        <v>327</v>
      </c>
      <c r="B213" s="1" t="s">
        <v>26</v>
      </c>
      <c r="C213" s="1" t="s">
        <v>27</v>
      </c>
      <c r="D213" s="1" t="s">
        <v>28</v>
      </c>
      <c r="E213" s="1" t="s">
        <v>21</v>
      </c>
      <c r="F213" s="1" t="s">
        <v>53</v>
      </c>
      <c r="G213">
        <v>9326</v>
      </c>
      <c r="H213">
        <v>9</v>
      </c>
      <c r="I213">
        <v>41967</v>
      </c>
      <c r="J213">
        <v>881307</v>
      </c>
      <c r="K213" s="1" t="s">
        <v>219</v>
      </c>
      <c r="L213" s="2">
        <v>0.75555555555555554</v>
      </c>
      <c r="M213" s="1" t="s">
        <v>31</v>
      </c>
      <c r="N213">
        <v>83934</v>
      </c>
      <c r="O213">
        <v>4761904762</v>
      </c>
      <c r="P213">
        <v>41967</v>
      </c>
      <c r="Q213">
        <v>88</v>
      </c>
    </row>
    <row r="214" spans="1:17" x14ac:dyDescent="0.25">
      <c r="A214" s="1" t="s">
        <v>328</v>
      </c>
      <c r="B214" s="1" t="s">
        <v>51</v>
      </c>
      <c r="C214" s="1" t="s">
        <v>52</v>
      </c>
      <c r="D214" s="1" t="s">
        <v>28</v>
      </c>
      <c r="E214" s="1" t="s">
        <v>33</v>
      </c>
      <c r="F214" s="1" t="s">
        <v>34</v>
      </c>
      <c r="G214">
        <v>9236</v>
      </c>
      <c r="H214">
        <v>5</v>
      </c>
      <c r="I214">
        <v>2309</v>
      </c>
      <c r="J214">
        <v>48489</v>
      </c>
      <c r="K214" s="1" t="s">
        <v>329</v>
      </c>
      <c r="L214" s="2">
        <v>0.80347222222222225</v>
      </c>
      <c r="M214" s="1" t="s">
        <v>24</v>
      </c>
      <c r="N214">
        <v>4618</v>
      </c>
      <c r="O214">
        <v>4761904762</v>
      </c>
      <c r="P214">
        <v>2309</v>
      </c>
      <c r="Q214">
        <v>49</v>
      </c>
    </row>
    <row r="215" spans="1:17" x14ac:dyDescent="0.25">
      <c r="A215" s="1" t="s">
        <v>330</v>
      </c>
      <c r="B215" s="1" t="s">
        <v>51</v>
      </c>
      <c r="C215" s="1" t="s">
        <v>52</v>
      </c>
      <c r="D215" s="1" t="s">
        <v>28</v>
      </c>
      <c r="E215" s="1" t="s">
        <v>33</v>
      </c>
      <c r="F215" s="1" t="s">
        <v>40</v>
      </c>
      <c r="G215">
        <v>4642</v>
      </c>
      <c r="H215">
        <v>3</v>
      </c>
      <c r="I215">
        <v>6963</v>
      </c>
      <c r="J215">
        <v>146223</v>
      </c>
      <c r="K215" s="1" t="s">
        <v>265</v>
      </c>
      <c r="L215" s="2">
        <v>0.55833333333333335</v>
      </c>
      <c r="M215" s="1" t="s">
        <v>36</v>
      </c>
      <c r="N215">
        <v>13926</v>
      </c>
      <c r="O215">
        <v>4761904762</v>
      </c>
      <c r="P215">
        <v>6963</v>
      </c>
      <c r="Q215">
        <v>44</v>
      </c>
    </row>
    <row r="216" spans="1:17" x14ac:dyDescent="0.25">
      <c r="A216" s="1" t="s">
        <v>331</v>
      </c>
      <c r="B216" s="1" t="s">
        <v>51</v>
      </c>
      <c r="C216" s="1" t="s">
        <v>52</v>
      </c>
      <c r="D216" s="1" t="s">
        <v>20</v>
      </c>
      <c r="E216" s="1" t="s">
        <v>21</v>
      </c>
      <c r="F216" s="1" t="s">
        <v>40</v>
      </c>
      <c r="G216">
        <v>2961</v>
      </c>
      <c r="H216">
        <v>7</v>
      </c>
      <c r="I216">
        <v>103635</v>
      </c>
      <c r="J216">
        <v>2176335</v>
      </c>
      <c r="K216" s="1" t="s">
        <v>69</v>
      </c>
      <c r="L216" s="2">
        <v>0.66180555555555554</v>
      </c>
      <c r="M216" s="1" t="s">
        <v>31</v>
      </c>
      <c r="N216">
        <v>20727</v>
      </c>
      <c r="O216">
        <v>4761904762</v>
      </c>
      <c r="P216">
        <v>103635</v>
      </c>
      <c r="Q216">
        <v>65</v>
      </c>
    </row>
    <row r="217" spans="1:17" x14ac:dyDescent="0.25">
      <c r="A217" s="1" t="s">
        <v>332</v>
      </c>
      <c r="B217" s="1" t="s">
        <v>18</v>
      </c>
      <c r="C217" s="1" t="s">
        <v>19</v>
      </c>
      <c r="D217" s="1" t="s">
        <v>28</v>
      </c>
      <c r="E217" s="1" t="s">
        <v>33</v>
      </c>
      <c r="F217" s="1" t="s">
        <v>34</v>
      </c>
      <c r="G217">
        <v>1828</v>
      </c>
      <c r="H217">
        <v>1</v>
      </c>
      <c r="I217">
        <v>914</v>
      </c>
      <c r="J217">
        <v>19194</v>
      </c>
      <c r="K217" s="1" t="s">
        <v>85</v>
      </c>
      <c r="L217" s="2">
        <v>0.62847222222222221</v>
      </c>
      <c r="M217" s="1" t="s">
        <v>36</v>
      </c>
      <c r="N217">
        <v>1828</v>
      </c>
      <c r="O217">
        <v>4761904762</v>
      </c>
      <c r="P217">
        <v>914</v>
      </c>
      <c r="Q217">
        <v>83</v>
      </c>
    </row>
    <row r="218" spans="1:17" x14ac:dyDescent="0.25">
      <c r="A218" s="1" t="s">
        <v>333</v>
      </c>
      <c r="B218" s="1" t="s">
        <v>51</v>
      </c>
      <c r="C218" s="1" t="s">
        <v>52</v>
      </c>
      <c r="D218" s="1" t="s">
        <v>28</v>
      </c>
      <c r="E218" s="1" t="s">
        <v>21</v>
      </c>
      <c r="F218" s="1" t="s">
        <v>40</v>
      </c>
      <c r="G218">
        <v>2477</v>
      </c>
      <c r="H218">
        <v>5</v>
      </c>
      <c r="I218">
        <v>61925</v>
      </c>
      <c r="J218">
        <v>1300425</v>
      </c>
      <c r="K218" s="1" t="s">
        <v>207</v>
      </c>
      <c r="L218" s="2">
        <v>0.76875000000000004</v>
      </c>
      <c r="M218" s="1" t="s">
        <v>31</v>
      </c>
      <c r="N218">
        <v>12385</v>
      </c>
      <c r="O218">
        <v>4761904762</v>
      </c>
      <c r="P218">
        <v>61925</v>
      </c>
      <c r="Q218">
        <v>85</v>
      </c>
    </row>
    <row r="219" spans="1:17" x14ac:dyDescent="0.25">
      <c r="A219" s="1" t="s">
        <v>334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29</v>
      </c>
      <c r="G219">
        <v>9464</v>
      </c>
      <c r="H219">
        <v>3</v>
      </c>
      <c r="I219">
        <v>14196</v>
      </c>
      <c r="J219">
        <v>298116</v>
      </c>
      <c r="K219" s="1" t="s">
        <v>335</v>
      </c>
      <c r="L219" s="2">
        <v>0.70486111111111116</v>
      </c>
      <c r="M219" s="1" t="s">
        <v>31</v>
      </c>
      <c r="N219">
        <v>28392</v>
      </c>
      <c r="O219">
        <v>4761904762</v>
      </c>
      <c r="P219">
        <v>14196</v>
      </c>
      <c r="Q219">
        <v>55</v>
      </c>
    </row>
    <row r="220" spans="1:17" x14ac:dyDescent="0.25">
      <c r="A220" s="1" t="s">
        <v>336</v>
      </c>
      <c r="B220" s="1" t="s">
        <v>51</v>
      </c>
      <c r="C220" s="1" t="s">
        <v>52</v>
      </c>
      <c r="D220" s="1" t="s">
        <v>28</v>
      </c>
      <c r="E220" s="1" t="s">
        <v>33</v>
      </c>
      <c r="F220" s="1" t="s">
        <v>56</v>
      </c>
      <c r="G220">
        <v>9487</v>
      </c>
      <c r="H220">
        <v>8</v>
      </c>
      <c r="I220">
        <v>37948</v>
      </c>
      <c r="J220">
        <v>796908</v>
      </c>
      <c r="K220" s="1" t="s">
        <v>61</v>
      </c>
      <c r="L220" s="2">
        <v>0.54027777777777775</v>
      </c>
      <c r="M220" s="1" t="s">
        <v>24</v>
      </c>
      <c r="N220">
        <v>75896</v>
      </c>
      <c r="O220">
        <v>4761904762</v>
      </c>
      <c r="P220">
        <v>37948</v>
      </c>
      <c r="Q220">
        <v>87</v>
      </c>
    </row>
    <row r="221" spans="1:17" x14ac:dyDescent="0.25">
      <c r="A221" s="1" t="s">
        <v>337</v>
      </c>
      <c r="B221" s="1" t="s">
        <v>51</v>
      </c>
      <c r="C221" s="1" t="s">
        <v>52</v>
      </c>
      <c r="D221" s="1" t="s">
        <v>28</v>
      </c>
      <c r="E221" s="1" t="s">
        <v>21</v>
      </c>
      <c r="F221" s="1" t="s">
        <v>53</v>
      </c>
      <c r="G221">
        <v>5734</v>
      </c>
      <c r="H221">
        <v>3</v>
      </c>
      <c r="I221">
        <v>8601</v>
      </c>
      <c r="J221">
        <v>180621</v>
      </c>
      <c r="K221" s="1" t="s">
        <v>88</v>
      </c>
      <c r="L221" s="2">
        <v>0.79097222222222219</v>
      </c>
      <c r="M221" s="1" t="s">
        <v>36</v>
      </c>
      <c r="N221">
        <v>17202</v>
      </c>
      <c r="O221">
        <v>4761904762</v>
      </c>
      <c r="P221">
        <v>8601</v>
      </c>
      <c r="Q221">
        <v>79</v>
      </c>
    </row>
    <row r="222" spans="1:17" x14ac:dyDescent="0.25">
      <c r="A222" s="1" t="s">
        <v>338</v>
      </c>
      <c r="B222" s="1" t="s">
        <v>51</v>
      </c>
      <c r="C222" s="1" t="s">
        <v>52</v>
      </c>
      <c r="D222" s="1" t="s">
        <v>28</v>
      </c>
      <c r="E222" s="1" t="s">
        <v>33</v>
      </c>
      <c r="F222" s="1" t="s">
        <v>29</v>
      </c>
      <c r="G222">
        <v>4535</v>
      </c>
      <c r="H222">
        <v>6</v>
      </c>
      <c r="I222">
        <v>13605</v>
      </c>
      <c r="J222">
        <v>285705</v>
      </c>
      <c r="K222" s="1" t="s">
        <v>339</v>
      </c>
      <c r="L222" s="2">
        <v>0.57222222222222219</v>
      </c>
      <c r="M222" s="1" t="s">
        <v>24</v>
      </c>
      <c r="N222">
        <v>2721</v>
      </c>
      <c r="O222">
        <v>4761904762</v>
      </c>
      <c r="P222">
        <v>13605</v>
      </c>
      <c r="Q222">
        <v>61</v>
      </c>
    </row>
    <row r="223" spans="1:17" x14ac:dyDescent="0.25">
      <c r="A223" s="1" t="s">
        <v>340</v>
      </c>
      <c r="B223" s="1" t="s">
        <v>51</v>
      </c>
      <c r="C223" s="1" t="s">
        <v>52</v>
      </c>
      <c r="D223" s="1" t="s">
        <v>28</v>
      </c>
      <c r="E223" s="1" t="s">
        <v>33</v>
      </c>
      <c r="F223" s="1" t="s">
        <v>53</v>
      </c>
      <c r="G223">
        <v>6208</v>
      </c>
      <c r="H223">
        <v>7</v>
      </c>
      <c r="I223">
        <v>21728</v>
      </c>
      <c r="J223">
        <v>456288</v>
      </c>
      <c r="K223" s="1" t="s">
        <v>143</v>
      </c>
      <c r="L223" s="2">
        <v>0.57361111111111107</v>
      </c>
      <c r="M223" s="1" t="s">
        <v>24</v>
      </c>
      <c r="N223">
        <v>43456</v>
      </c>
      <c r="O223">
        <v>4761904762</v>
      </c>
      <c r="P223">
        <v>21728</v>
      </c>
      <c r="Q223">
        <v>54</v>
      </c>
    </row>
    <row r="224" spans="1:17" x14ac:dyDescent="0.25">
      <c r="A224" s="1" t="s">
        <v>341</v>
      </c>
      <c r="B224" s="1" t="s">
        <v>26</v>
      </c>
      <c r="C224" s="1" t="s">
        <v>27</v>
      </c>
      <c r="D224" s="1" t="s">
        <v>28</v>
      </c>
      <c r="E224" s="1" t="s">
        <v>33</v>
      </c>
      <c r="F224" s="1" t="s">
        <v>29</v>
      </c>
      <c r="G224">
        <v>1181</v>
      </c>
      <c r="H224">
        <v>5</v>
      </c>
      <c r="I224">
        <v>29525</v>
      </c>
      <c r="J224">
        <v>620025</v>
      </c>
      <c r="K224" s="1" t="s">
        <v>81</v>
      </c>
      <c r="L224" s="2">
        <v>0.75416666666666665</v>
      </c>
      <c r="M224" s="1" t="s">
        <v>31</v>
      </c>
      <c r="N224">
        <v>5905</v>
      </c>
      <c r="O224">
        <v>4761904762</v>
      </c>
      <c r="P224">
        <v>29525</v>
      </c>
      <c r="Q224">
        <v>94</v>
      </c>
    </row>
    <row r="225" spans="1:17" x14ac:dyDescent="0.25">
      <c r="A225" s="1" t="s">
        <v>342</v>
      </c>
      <c r="B225" s="1" t="s">
        <v>26</v>
      </c>
      <c r="C225" s="1" t="s">
        <v>27</v>
      </c>
      <c r="D225" s="1" t="s">
        <v>20</v>
      </c>
      <c r="E225" s="1" t="s">
        <v>21</v>
      </c>
      <c r="F225" s="1" t="s">
        <v>56</v>
      </c>
      <c r="G225">
        <v>1254</v>
      </c>
      <c r="H225">
        <v>1</v>
      </c>
      <c r="I225">
        <v>627</v>
      </c>
      <c r="J225">
        <v>13167</v>
      </c>
      <c r="K225" s="1" t="s">
        <v>335</v>
      </c>
      <c r="L225" s="2">
        <v>0.52638888888888891</v>
      </c>
      <c r="M225" s="1" t="s">
        <v>31</v>
      </c>
      <c r="N225">
        <v>1254</v>
      </c>
      <c r="O225">
        <v>4761904762</v>
      </c>
      <c r="P225">
        <v>627</v>
      </c>
      <c r="Q225">
        <v>82</v>
      </c>
    </row>
    <row r="226" spans="1:17" x14ac:dyDescent="0.25">
      <c r="A226" s="1" t="s">
        <v>343</v>
      </c>
      <c r="B226" s="1" t="s">
        <v>18</v>
      </c>
      <c r="C226" s="1" t="s">
        <v>19</v>
      </c>
      <c r="D226" s="1" t="s">
        <v>28</v>
      </c>
      <c r="E226" s="1" t="s">
        <v>33</v>
      </c>
      <c r="F226" s="1" t="s">
        <v>53</v>
      </c>
      <c r="G226">
        <v>4325</v>
      </c>
      <c r="H226">
        <v>2</v>
      </c>
      <c r="I226">
        <v>4325</v>
      </c>
      <c r="J226">
        <v>90825</v>
      </c>
      <c r="K226" s="1" t="s">
        <v>329</v>
      </c>
      <c r="L226" s="2">
        <v>0.66388888888888886</v>
      </c>
      <c r="M226" s="1" t="s">
        <v>31</v>
      </c>
      <c r="N226">
        <v>865</v>
      </c>
      <c r="O226">
        <v>4761904762</v>
      </c>
      <c r="P226">
        <v>4325</v>
      </c>
      <c r="Q226">
        <v>62</v>
      </c>
    </row>
    <row r="227" spans="1:17" x14ac:dyDescent="0.25">
      <c r="A227" s="1" t="s">
        <v>344</v>
      </c>
      <c r="B227" s="1" t="s">
        <v>26</v>
      </c>
      <c r="C227" s="1" t="s">
        <v>27</v>
      </c>
      <c r="D227" s="1" t="s">
        <v>20</v>
      </c>
      <c r="E227" s="1" t="s">
        <v>21</v>
      </c>
      <c r="F227" s="1" t="s">
        <v>40</v>
      </c>
      <c r="G227">
        <v>8716</v>
      </c>
      <c r="H227">
        <v>2</v>
      </c>
      <c r="I227">
        <v>8716</v>
      </c>
      <c r="J227">
        <v>183036</v>
      </c>
      <c r="K227" s="1" t="s">
        <v>345</v>
      </c>
      <c r="L227" s="2">
        <v>0.60347222222222219</v>
      </c>
      <c r="M227" s="1" t="s">
        <v>36</v>
      </c>
      <c r="N227">
        <v>17432</v>
      </c>
      <c r="O227">
        <v>4761904762</v>
      </c>
      <c r="P227">
        <v>8716</v>
      </c>
      <c r="Q227">
        <v>97</v>
      </c>
    </row>
    <row r="228" spans="1:17" x14ac:dyDescent="0.25">
      <c r="A228" s="1" t="s">
        <v>346</v>
      </c>
      <c r="B228" s="1" t="s">
        <v>51</v>
      </c>
      <c r="C228" s="1" t="s">
        <v>52</v>
      </c>
      <c r="D228" s="1" t="s">
        <v>20</v>
      </c>
      <c r="E228" s="1" t="s">
        <v>33</v>
      </c>
      <c r="F228" s="1" t="s">
        <v>22</v>
      </c>
      <c r="G228">
        <v>6937</v>
      </c>
      <c r="H228">
        <v>9</v>
      </c>
      <c r="I228">
        <v>312165</v>
      </c>
      <c r="J228">
        <v>6555465</v>
      </c>
      <c r="K228" s="1" t="s">
        <v>171</v>
      </c>
      <c r="L228" s="2">
        <v>0.80138888888888893</v>
      </c>
      <c r="M228" s="1" t="s">
        <v>24</v>
      </c>
      <c r="N228">
        <v>62433</v>
      </c>
      <c r="O228">
        <v>4761904762</v>
      </c>
      <c r="P228">
        <v>312165</v>
      </c>
      <c r="Q228">
        <v>4</v>
      </c>
    </row>
    <row r="229" spans="1:17" x14ac:dyDescent="0.25">
      <c r="A229" s="1" t="s">
        <v>347</v>
      </c>
      <c r="B229" s="1" t="s">
        <v>26</v>
      </c>
      <c r="C229" s="1" t="s">
        <v>27</v>
      </c>
      <c r="D229" s="1" t="s">
        <v>20</v>
      </c>
      <c r="E229" s="1" t="s">
        <v>33</v>
      </c>
      <c r="F229" s="1" t="s">
        <v>29</v>
      </c>
      <c r="G229">
        <v>3706</v>
      </c>
      <c r="H229">
        <v>4</v>
      </c>
      <c r="I229">
        <v>7412</v>
      </c>
      <c r="J229">
        <v>155652</v>
      </c>
      <c r="K229" s="1" t="s">
        <v>339</v>
      </c>
      <c r="L229" s="2">
        <v>0.68333333333333335</v>
      </c>
      <c r="M229" s="1" t="s">
        <v>24</v>
      </c>
      <c r="N229">
        <v>14824</v>
      </c>
      <c r="O229">
        <v>4761904762</v>
      </c>
      <c r="P229">
        <v>7412</v>
      </c>
      <c r="Q229">
        <v>97</v>
      </c>
    </row>
    <row r="230" spans="1:17" x14ac:dyDescent="0.25">
      <c r="A230" s="1" t="s">
        <v>348</v>
      </c>
      <c r="B230" s="1" t="s">
        <v>51</v>
      </c>
      <c r="C230" s="1" t="s">
        <v>52</v>
      </c>
      <c r="D230" s="1" t="s">
        <v>20</v>
      </c>
      <c r="E230" s="1" t="s">
        <v>21</v>
      </c>
      <c r="F230" s="1" t="s">
        <v>29</v>
      </c>
      <c r="G230">
        <v>907</v>
      </c>
      <c r="H230">
        <v>6</v>
      </c>
      <c r="I230">
        <v>2721</v>
      </c>
      <c r="J230">
        <v>57141</v>
      </c>
      <c r="K230" s="1" t="s">
        <v>349</v>
      </c>
      <c r="L230" s="2">
        <v>0.45277777777777778</v>
      </c>
      <c r="M230" s="1" t="s">
        <v>31</v>
      </c>
      <c r="N230">
        <v>5442</v>
      </c>
      <c r="O230">
        <v>4761904762</v>
      </c>
      <c r="P230">
        <v>2721</v>
      </c>
      <c r="Q230">
        <v>53</v>
      </c>
    </row>
    <row r="231" spans="1:17" x14ac:dyDescent="0.25">
      <c r="A231" s="1" t="s">
        <v>350</v>
      </c>
      <c r="B231" s="1" t="s">
        <v>18</v>
      </c>
      <c r="C231" s="1" t="s">
        <v>19</v>
      </c>
      <c r="D231" s="1" t="s">
        <v>28</v>
      </c>
      <c r="E231" s="1" t="s">
        <v>21</v>
      </c>
      <c r="F231" s="1" t="s">
        <v>34</v>
      </c>
      <c r="G231">
        <v>6342</v>
      </c>
      <c r="H231">
        <v>8</v>
      </c>
      <c r="I231">
        <v>25368</v>
      </c>
      <c r="J231">
        <v>532728</v>
      </c>
      <c r="K231" s="1" t="s">
        <v>69</v>
      </c>
      <c r="L231" s="2">
        <v>0.53819444444444442</v>
      </c>
      <c r="M231" s="1" t="s">
        <v>24</v>
      </c>
      <c r="N231">
        <v>50736</v>
      </c>
      <c r="O231">
        <v>4761904762</v>
      </c>
      <c r="P231">
        <v>25368</v>
      </c>
      <c r="Q231">
        <v>74</v>
      </c>
    </row>
    <row r="232" spans="1:17" x14ac:dyDescent="0.25">
      <c r="A232" s="1" t="s">
        <v>351</v>
      </c>
      <c r="B232" s="1" t="s">
        <v>51</v>
      </c>
      <c r="C232" s="1" t="s">
        <v>52</v>
      </c>
      <c r="D232" s="1" t="s">
        <v>28</v>
      </c>
      <c r="E232" s="1" t="s">
        <v>21</v>
      </c>
      <c r="F232" s="1" t="s">
        <v>56</v>
      </c>
      <c r="G232">
        <v>8137</v>
      </c>
      <c r="H232">
        <v>2</v>
      </c>
      <c r="I232">
        <v>8137</v>
      </c>
      <c r="J232">
        <v>170877</v>
      </c>
      <c r="K232" s="1" t="s">
        <v>171</v>
      </c>
      <c r="L232" s="2">
        <v>0.81111111111111112</v>
      </c>
      <c r="M232" s="1" t="s">
        <v>31</v>
      </c>
      <c r="N232">
        <v>16274</v>
      </c>
      <c r="O232">
        <v>4761904762</v>
      </c>
      <c r="P232">
        <v>8137</v>
      </c>
      <c r="Q232">
        <v>65</v>
      </c>
    </row>
    <row r="233" spans="1:17" x14ac:dyDescent="0.25">
      <c r="A233" s="1" t="s">
        <v>352</v>
      </c>
      <c r="B233" s="1" t="s">
        <v>51</v>
      </c>
      <c r="C233" s="1" t="s">
        <v>52</v>
      </c>
      <c r="D233" s="1" t="s">
        <v>20</v>
      </c>
      <c r="E233" s="1" t="s">
        <v>21</v>
      </c>
      <c r="F233" s="1" t="s">
        <v>29</v>
      </c>
      <c r="G233">
        <v>1059</v>
      </c>
      <c r="H233">
        <v>3</v>
      </c>
      <c r="I233">
        <v>15885</v>
      </c>
      <c r="J233">
        <v>333585</v>
      </c>
      <c r="K233" s="1" t="s">
        <v>137</v>
      </c>
      <c r="L233" s="2">
        <v>0.57777777777777772</v>
      </c>
      <c r="M233" s="1" t="s">
        <v>36</v>
      </c>
      <c r="N233">
        <v>3177</v>
      </c>
      <c r="O233">
        <v>4761904762</v>
      </c>
      <c r="P233">
        <v>15885</v>
      </c>
      <c r="Q233">
        <v>87</v>
      </c>
    </row>
    <row r="234" spans="1:17" x14ac:dyDescent="0.25">
      <c r="A234" s="1" t="s">
        <v>353</v>
      </c>
      <c r="B234" s="1" t="s">
        <v>51</v>
      </c>
      <c r="C234" s="1" t="s">
        <v>52</v>
      </c>
      <c r="D234" s="1" t="s">
        <v>28</v>
      </c>
      <c r="E234" s="1" t="s">
        <v>21</v>
      </c>
      <c r="F234" s="1" t="s">
        <v>22</v>
      </c>
      <c r="G234">
        <v>8409</v>
      </c>
      <c r="H234">
        <v>9</v>
      </c>
      <c r="I234">
        <v>378405</v>
      </c>
      <c r="J234">
        <v>7946505</v>
      </c>
      <c r="K234" s="1" t="s">
        <v>156</v>
      </c>
      <c r="L234" s="2">
        <v>0.45416666666666666</v>
      </c>
      <c r="M234" s="1" t="s">
        <v>31</v>
      </c>
      <c r="N234">
        <v>75681</v>
      </c>
      <c r="O234">
        <v>4761904762</v>
      </c>
      <c r="P234">
        <v>378405</v>
      </c>
      <c r="Q234">
        <v>8</v>
      </c>
    </row>
    <row r="235" spans="1:17" x14ac:dyDescent="0.25">
      <c r="A235" s="1" t="s">
        <v>354</v>
      </c>
      <c r="B235" s="1" t="s">
        <v>51</v>
      </c>
      <c r="C235" s="1" t="s">
        <v>52</v>
      </c>
      <c r="D235" s="1" t="s">
        <v>20</v>
      </c>
      <c r="E235" s="1" t="s">
        <v>33</v>
      </c>
      <c r="F235" s="1" t="s">
        <v>56</v>
      </c>
      <c r="G235">
        <v>7382</v>
      </c>
      <c r="H235">
        <v>4</v>
      </c>
      <c r="I235">
        <v>14764</v>
      </c>
      <c r="J235">
        <v>310044</v>
      </c>
      <c r="K235" s="1" t="s">
        <v>335</v>
      </c>
      <c r="L235" s="2">
        <v>0.77152777777777781</v>
      </c>
      <c r="M235" s="1" t="s">
        <v>31</v>
      </c>
      <c r="N235">
        <v>29528</v>
      </c>
      <c r="O235">
        <v>4761904762</v>
      </c>
      <c r="P235">
        <v>14764</v>
      </c>
      <c r="Q235">
        <v>67</v>
      </c>
    </row>
    <row r="236" spans="1:17" x14ac:dyDescent="0.25">
      <c r="A236" s="1" t="s">
        <v>355</v>
      </c>
      <c r="B236" s="1" t="s">
        <v>18</v>
      </c>
      <c r="C236" s="1" t="s">
        <v>19</v>
      </c>
      <c r="D236" s="1" t="s">
        <v>20</v>
      </c>
      <c r="E236" s="1" t="s">
        <v>33</v>
      </c>
      <c r="F236" s="1" t="s">
        <v>22</v>
      </c>
      <c r="G236">
        <v>5194</v>
      </c>
      <c r="H236">
        <v>10</v>
      </c>
      <c r="I236">
        <v>2597</v>
      </c>
      <c r="J236">
        <v>54537</v>
      </c>
      <c r="K236" s="1" t="s">
        <v>59</v>
      </c>
      <c r="L236" s="2">
        <v>0.76666666666666672</v>
      </c>
      <c r="M236" s="1" t="s">
        <v>24</v>
      </c>
      <c r="N236">
        <v>5194</v>
      </c>
      <c r="O236">
        <v>4761904762</v>
      </c>
      <c r="P236">
        <v>2597</v>
      </c>
      <c r="Q236">
        <v>65</v>
      </c>
    </row>
    <row r="237" spans="1:17" x14ac:dyDescent="0.25">
      <c r="A237" s="1" t="s">
        <v>356</v>
      </c>
      <c r="B237" s="1" t="s">
        <v>18</v>
      </c>
      <c r="C237" s="1" t="s">
        <v>19</v>
      </c>
      <c r="D237" s="1" t="s">
        <v>28</v>
      </c>
      <c r="E237" s="1" t="s">
        <v>21</v>
      </c>
      <c r="F237" s="1" t="s">
        <v>40</v>
      </c>
      <c r="G237">
        <v>9314</v>
      </c>
      <c r="H237">
        <v>2</v>
      </c>
      <c r="I237">
        <v>9314</v>
      </c>
      <c r="J237">
        <v>195594</v>
      </c>
      <c r="K237" s="1" t="s">
        <v>135</v>
      </c>
      <c r="L237" s="2">
        <v>0.75624999999999998</v>
      </c>
      <c r="M237" s="1" t="s">
        <v>24</v>
      </c>
      <c r="N237">
        <v>18628</v>
      </c>
      <c r="O237">
        <v>4761904762</v>
      </c>
      <c r="P237">
        <v>9314</v>
      </c>
      <c r="Q237">
        <v>41</v>
      </c>
    </row>
    <row r="238" spans="1:17" x14ac:dyDescent="0.25">
      <c r="A238" s="1" t="s">
        <v>357</v>
      </c>
      <c r="B238" s="1" t="s">
        <v>26</v>
      </c>
      <c r="C238" s="1" t="s">
        <v>27</v>
      </c>
      <c r="D238" s="1" t="s">
        <v>28</v>
      </c>
      <c r="E238" s="1" t="s">
        <v>33</v>
      </c>
      <c r="F238" s="1" t="s">
        <v>22</v>
      </c>
      <c r="G238">
        <v>1741</v>
      </c>
      <c r="H238">
        <v>5</v>
      </c>
      <c r="I238">
        <v>43525</v>
      </c>
      <c r="J238">
        <v>914025</v>
      </c>
      <c r="K238" s="1" t="s">
        <v>94</v>
      </c>
      <c r="L238" s="2">
        <v>0.63611111111111107</v>
      </c>
      <c r="M238" s="1" t="s">
        <v>36</v>
      </c>
      <c r="N238">
        <v>8705</v>
      </c>
      <c r="O238">
        <v>4761904762</v>
      </c>
      <c r="P238">
        <v>43525</v>
      </c>
      <c r="Q238">
        <v>49</v>
      </c>
    </row>
    <row r="239" spans="1:17" x14ac:dyDescent="0.25">
      <c r="A239" s="1" t="s">
        <v>358</v>
      </c>
      <c r="B239" s="1" t="s">
        <v>26</v>
      </c>
      <c r="C239" s="1" t="s">
        <v>27</v>
      </c>
      <c r="D239" s="1" t="s">
        <v>20</v>
      </c>
      <c r="E239" s="1" t="s">
        <v>21</v>
      </c>
      <c r="F239" s="1" t="s">
        <v>56</v>
      </c>
      <c r="G239">
        <v>4422</v>
      </c>
      <c r="H239">
        <v>5</v>
      </c>
      <c r="I239">
        <v>11055</v>
      </c>
      <c r="J239">
        <v>232155</v>
      </c>
      <c r="K239" s="1" t="s">
        <v>77</v>
      </c>
      <c r="L239" s="2">
        <v>0.71319444444444446</v>
      </c>
      <c r="M239" s="1" t="s">
        <v>36</v>
      </c>
      <c r="N239">
        <v>2211</v>
      </c>
      <c r="O239">
        <v>4761904762</v>
      </c>
      <c r="P239">
        <v>11055</v>
      </c>
      <c r="Q239">
        <v>86</v>
      </c>
    </row>
    <row r="240" spans="1:17" x14ac:dyDescent="0.25">
      <c r="A240" s="1" t="s">
        <v>359</v>
      </c>
      <c r="B240" s="1" t="s">
        <v>51</v>
      </c>
      <c r="C240" s="1" t="s">
        <v>52</v>
      </c>
      <c r="D240" s="1" t="s">
        <v>20</v>
      </c>
      <c r="E240" s="1" t="s">
        <v>21</v>
      </c>
      <c r="F240" s="1" t="s">
        <v>29</v>
      </c>
      <c r="G240">
        <v>1322</v>
      </c>
      <c r="H240">
        <v>5</v>
      </c>
      <c r="I240">
        <v>3305</v>
      </c>
      <c r="J240">
        <v>69405</v>
      </c>
      <c r="K240" s="1" t="s">
        <v>83</v>
      </c>
      <c r="L240" s="2">
        <v>0.80972222222222223</v>
      </c>
      <c r="M240" s="1" t="s">
        <v>31</v>
      </c>
      <c r="N240">
        <v>661</v>
      </c>
      <c r="O240">
        <v>4761904762</v>
      </c>
      <c r="P240">
        <v>3305</v>
      </c>
      <c r="Q240">
        <v>43</v>
      </c>
    </row>
    <row r="241" spans="1:17" x14ac:dyDescent="0.25">
      <c r="A241" s="1" t="s">
        <v>360</v>
      </c>
      <c r="B241" s="1" t="s">
        <v>18</v>
      </c>
      <c r="C241" s="1" t="s">
        <v>19</v>
      </c>
      <c r="D241" s="1" t="s">
        <v>28</v>
      </c>
      <c r="E241" s="1" t="s">
        <v>33</v>
      </c>
      <c r="F241" s="1" t="s">
        <v>56</v>
      </c>
      <c r="G241">
        <v>8969</v>
      </c>
      <c r="H241">
        <v>1</v>
      </c>
      <c r="I241">
        <v>44845</v>
      </c>
      <c r="J241">
        <v>941745</v>
      </c>
      <c r="K241" s="1" t="s">
        <v>345</v>
      </c>
      <c r="L241" s="2">
        <v>0.47222222222222221</v>
      </c>
      <c r="M241" s="1" t="s">
        <v>24</v>
      </c>
      <c r="N241">
        <v>8969</v>
      </c>
      <c r="O241">
        <v>4761904762</v>
      </c>
      <c r="P241">
        <v>44845</v>
      </c>
      <c r="Q241">
        <v>49</v>
      </c>
    </row>
    <row r="242" spans="1:17" x14ac:dyDescent="0.25">
      <c r="A242" s="1" t="s">
        <v>361</v>
      </c>
      <c r="B242" s="1" t="s">
        <v>18</v>
      </c>
      <c r="C242" s="1" t="s">
        <v>19</v>
      </c>
      <c r="D242" s="1" t="s">
        <v>28</v>
      </c>
      <c r="E242" s="1" t="s">
        <v>33</v>
      </c>
      <c r="F242" s="1" t="s">
        <v>53</v>
      </c>
      <c r="G242">
        <v>2494</v>
      </c>
      <c r="H242">
        <v>9</v>
      </c>
      <c r="I242">
        <v>11223</v>
      </c>
      <c r="J242">
        <v>235683</v>
      </c>
      <c r="K242" s="1" t="s">
        <v>345</v>
      </c>
      <c r="L242" s="2">
        <v>0.7006944444444444</v>
      </c>
      <c r="M242" s="1" t="s">
        <v>36</v>
      </c>
      <c r="N242">
        <v>22446</v>
      </c>
      <c r="O242">
        <v>4761904762</v>
      </c>
      <c r="P242">
        <v>11223</v>
      </c>
      <c r="Q242">
        <v>56</v>
      </c>
    </row>
    <row r="243" spans="1:17" x14ac:dyDescent="0.25">
      <c r="A243" s="1" t="s">
        <v>362</v>
      </c>
      <c r="B243" s="1" t="s">
        <v>18</v>
      </c>
      <c r="C243" s="1" t="s">
        <v>19</v>
      </c>
      <c r="D243" s="1" t="s">
        <v>28</v>
      </c>
      <c r="E243" s="1" t="s">
        <v>33</v>
      </c>
      <c r="F243" s="1" t="s">
        <v>22</v>
      </c>
      <c r="G243">
        <v>5977</v>
      </c>
      <c r="H243">
        <v>2</v>
      </c>
      <c r="I243">
        <v>5977</v>
      </c>
      <c r="J243">
        <v>125517</v>
      </c>
      <c r="K243" s="1" t="s">
        <v>69</v>
      </c>
      <c r="L243" s="2">
        <v>0.50069444444444444</v>
      </c>
      <c r="M243" s="1" t="s">
        <v>36</v>
      </c>
      <c r="N243">
        <v>11954</v>
      </c>
      <c r="O243">
        <v>4761904762</v>
      </c>
      <c r="P243">
        <v>5977</v>
      </c>
      <c r="Q243">
        <v>58</v>
      </c>
    </row>
    <row r="244" spans="1:17" x14ac:dyDescent="0.25">
      <c r="A244" s="1" t="s">
        <v>363</v>
      </c>
      <c r="B244" s="1" t="s">
        <v>26</v>
      </c>
      <c r="C244" s="1" t="s">
        <v>27</v>
      </c>
      <c r="D244" s="1" t="s">
        <v>20</v>
      </c>
      <c r="E244" s="1" t="s">
        <v>33</v>
      </c>
      <c r="F244" s="1" t="s">
        <v>56</v>
      </c>
      <c r="G244">
        <v>932</v>
      </c>
      <c r="H244">
        <v>2</v>
      </c>
      <c r="I244">
        <v>932</v>
      </c>
      <c r="J244">
        <v>19572</v>
      </c>
      <c r="K244" s="1" t="s">
        <v>130</v>
      </c>
      <c r="L244" s="2">
        <v>0.77569444444444446</v>
      </c>
      <c r="M244" s="1" t="s">
        <v>36</v>
      </c>
      <c r="N244">
        <v>1864</v>
      </c>
      <c r="O244">
        <v>4761904762</v>
      </c>
      <c r="P244">
        <v>932</v>
      </c>
      <c r="Q244">
        <v>6</v>
      </c>
    </row>
    <row r="245" spans="1:17" x14ac:dyDescent="0.25">
      <c r="A245" s="1" t="s">
        <v>364</v>
      </c>
      <c r="B245" s="1" t="s">
        <v>18</v>
      </c>
      <c r="C245" s="1" t="s">
        <v>19</v>
      </c>
      <c r="D245" s="1" t="s">
        <v>20</v>
      </c>
      <c r="E245" s="1" t="s">
        <v>33</v>
      </c>
      <c r="F245" s="1" t="s">
        <v>34</v>
      </c>
      <c r="G245">
        <v>6265</v>
      </c>
      <c r="H245">
        <v>4</v>
      </c>
      <c r="I245">
        <v>1253</v>
      </c>
      <c r="J245">
        <v>26313</v>
      </c>
      <c r="K245" s="1" t="s">
        <v>23</v>
      </c>
      <c r="L245" s="2">
        <v>0.47569444444444442</v>
      </c>
      <c r="M245" s="1" t="s">
        <v>31</v>
      </c>
      <c r="N245">
        <v>2506</v>
      </c>
      <c r="O245">
        <v>4761904762</v>
      </c>
      <c r="P245">
        <v>1253</v>
      </c>
      <c r="Q245">
        <v>42</v>
      </c>
    </row>
    <row r="246" spans="1:17" x14ac:dyDescent="0.25">
      <c r="A246" s="1" t="s">
        <v>365</v>
      </c>
      <c r="B246" s="1" t="s">
        <v>51</v>
      </c>
      <c r="C246" s="1" t="s">
        <v>52</v>
      </c>
      <c r="D246" s="1" t="s">
        <v>28</v>
      </c>
      <c r="E246" s="1" t="s">
        <v>33</v>
      </c>
      <c r="F246" s="1" t="s">
        <v>34</v>
      </c>
      <c r="G246">
        <v>9387</v>
      </c>
      <c r="H246">
        <v>8</v>
      </c>
      <c r="I246">
        <v>37548</v>
      </c>
      <c r="J246">
        <v>788508</v>
      </c>
      <c r="K246" s="1" t="s">
        <v>108</v>
      </c>
      <c r="L246" s="2">
        <v>0.77916666666666667</v>
      </c>
      <c r="M246" s="1" t="s">
        <v>36</v>
      </c>
      <c r="N246">
        <v>75096</v>
      </c>
      <c r="O246">
        <v>4761904762</v>
      </c>
      <c r="P246">
        <v>37548</v>
      </c>
      <c r="Q246">
        <v>83</v>
      </c>
    </row>
    <row r="247" spans="1:17" x14ac:dyDescent="0.25">
      <c r="A247" s="1" t="s">
        <v>366</v>
      </c>
      <c r="B247" s="1" t="s">
        <v>18</v>
      </c>
      <c r="C247" s="1" t="s">
        <v>19</v>
      </c>
      <c r="D247" s="1" t="s">
        <v>20</v>
      </c>
      <c r="E247" s="1" t="s">
        <v>33</v>
      </c>
      <c r="F247" s="1" t="s">
        <v>34</v>
      </c>
      <c r="G247">
        <v>4759</v>
      </c>
      <c r="H247">
        <v>8</v>
      </c>
      <c r="I247">
        <v>19036</v>
      </c>
      <c r="J247">
        <v>399756</v>
      </c>
      <c r="K247" s="1" t="s">
        <v>71</v>
      </c>
      <c r="L247" s="2">
        <v>0.61597222222222225</v>
      </c>
      <c r="M247" s="1" t="s">
        <v>31</v>
      </c>
      <c r="N247">
        <v>38072</v>
      </c>
      <c r="O247">
        <v>4761904762</v>
      </c>
      <c r="P247">
        <v>19036</v>
      </c>
      <c r="Q247">
        <v>57</v>
      </c>
    </row>
    <row r="248" spans="1:17" x14ac:dyDescent="0.25">
      <c r="A248" s="1" t="s">
        <v>367</v>
      </c>
      <c r="B248" s="1" t="s">
        <v>51</v>
      </c>
      <c r="C248" s="1" t="s">
        <v>52</v>
      </c>
      <c r="D248" s="1" t="s">
        <v>20</v>
      </c>
      <c r="E248" s="1" t="s">
        <v>21</v>
      </c>
      <c r="F248" s="1" t="s">
        <v>29</v>
      </c>
      <c r="G248">
        <v>814</v>
      </c>
      <c r="H248">
        <v>3</v>
      </c>
      <c r="I248">
        <v>1221</v>
      </c>
      <c r="J248">
        <v>25641</v>
      </c>
      <c r="K248" s="1" t="s">
        <v>191</v>
      </c>
      <c r="L248" s="2">
        <v>0.82152777777777775</v>
      </c>
      <c r="M248" s="1" t="s">
        <v>31</v>
      </c>
      <c r="N248">
        <v>2442</v>
      </c>
      <c r="O248">
        <v>4761904762</v>
      </c>
      <c r="P248">
        <v>1221</v>
      </c>
      <c r="Q248">
        <v>48</v>
      </c>
    </row>
    <row r="249" spans="1:17" x14ac:dyDescent="0.25">
      <c r="A249" s="1" t="s">
        <v>368</v>
      </c>
      <c r="B249" s="1" t="s">
        <v>18</v>
      </c>
      <c r="C249" s="1" t="s">
        <v>19</v>
      </c>
      <c r="D249" s="1" t="s">
        <v>20</v>
      </c>
      <c r="E249" s="1" t="s">
        <v>33</v>
      </c>
      <c r="F249" s="1" t="s">
        <v>56</v>
      </c>
      <c r="G249">
        <v>1794</v>
      </c>
      <c r="H249">
        <v>5</v>
      </c>
      <c r="I249">
        <v>4485</v>
      </c>
      <c r="J249">
        <v>94185</v>
      </c>
      <c r="K249" s="1" t="s">
        <v>173</v>
      </c>
      <c r="L249" s="2">
        <v>0.58611111111111114</v>
      </c>
      <c r="M249" s="1" t="s">
        <v>24</v>
      </c>
      <c r="N249">
        <v>897</v>
      </c>
      <c r="O249">
        <v>4761904762</v>
      </c>
      <c r="P249">
        <v>4485</v>
      </c>
      <c r="Q249">
        <v>68</v>
      </c>
    </row>
    <row r="250" spans="1:17" x14ac:dyDescent="0.25">
      <c r="A250" s="1" t="s">
        <v>369</v>
      </c>
      <c r="B250" s="1" t="s">
        <v>18</v>
      </c>
      <c r="C250" s="1" t="s">
        <v>19</v>
      </c>
      <c r="D250" s="1" t="s">
        <v>20</v>
      </c>
      <c r="E250" s="1" t="s">
        <v>33</v>
      </c>
      <c r="F250" s="1" t="s">
        <v>29</v>
      </c>
      <c r="G250">
        <v>7772</v>
      </c>
      <c r="H250">
        <v>4</v>
      </c>
      <c r="I250">
        <v>15544</v>
      </c>
      <c r="J250">
        <v>326424</v>
      </c>
      <c r="K250" s="1" t="s">
        <v>99</v>
      </c>
      <c r="L250" s="2">
        <v>0.6743055555555556</v>
      </c>
      <c r="M250" s="1" t="s">
        <v>36</v>
      </c>
      <c r="N250">
        <v>31088</v>
      </c>
      <c r="O250">
        <v>4761904762</v>
      </c>
      <c r="P250">
        <v>15544</v>
      </c>
      <c r="Q250">
        <v>88</v>
      </c>
    </row>
    <row r="251" spans="1:17" x14ac:dyDescent="0.25">
      <c r="A251" s="1" t="s">
        <v>370</v>
      </c>
      <c r="B251" s="1" t="s">
        <v>51</v>
      </c>
      <c r="C251" s="1" t="s">
        <v>52</v>
      </c>
      <c r="D251" s="1" t="s">
        <v>28</v>
      </c>
      <c r="E251" s="1" t="s">
        <v>33</v>
      </c>
      <c r="F251" s="1" t="s">
        <v>53</v>
      </c>
      <c r="G251">
        <v>7306</v>
      </c>
      <c r="H251">
        <v>7</v>
      </c>
      <c r="I251">
        <v>25571</v>
      </c>
      <c r="J251">
        <v>536991</v>
      </c>
      <c r="K251" s="1" t="s">
        <v>317</v>
      </c>
      <c r="L251" s="2">
        <v>0.79583333333333328</v>
      </c>
      <c r="M251" s="1" t="s">
        <v>36</v>
      </c>
      <c r="N251">
        <v>51142</v>
      </c>
      <c r="O251">
        <v>4761904762</v>
      </c>
      <c r="P251">
        <v>25571</v>
      </c>
      <c r="Q251">
        <v>42</v>
      </c>
    </row>
    <row r="252" spans="1:17" x14ac:dyDescent="0.25">
      <c r="A252" s="1" t="s">
        <v>371</v>
      </c>
      <c r="B252" s="1" t="s">
        <v>51</v>
      </c>
      <c r="C252" s="1" t="s">
        <v>52</v>
      </c>
      <c r="D252" s="1" t="s">
        <v>20</v>
      </c>
      <c r="E252" s="1" t="s">
        <v>33</v>
      </c>
      <c r="F252" s="1" t="s">
        <v>53</v>
      </c>
      <c r="G252">
        <v>4655</v>
      </c>
      <c r="H252">
        <v>9</v>
      </c>
      <c r="I252">
        <v>209475</v>
      </c>
      <c r="J252">
        <v>4398975</v>
      </c>
      <c r="K252" s="1" t="s">
        <v>108</v>
      </c>
      <c r="L252" s="2">
        <v>0.64861111111111114</v>
      </c>
      <c r="M252" s="1" t="s">
        <v>24</v>
      </c>
      <c r="N252">
        <v>41895</v>
      </c>
      <c r="O252">
        <v>4761904762</v>
      </c>
      <c r="P252">
        <v>209475</v>
      </c>
      <c r="Q252">
        <v>64</v>
      </c>
    </row>
    <row r="253" spans="1:17" x14ac:dyDescent="0.25">
      <c r="A253" s="1" t="s">
        <v>372</v>
      </c>
      <c r="B253" s="1" t="s">
        <v>26</v>
      </c>
      <c r="C253" s="1" t="s">
        <v>27</v>
      </c>
      <c r="D253" s="1" t="s">
        <v>20</v>
      </c>
      <c r="E253" s="1" t="s">
        <v>33</v>
      </c>
      <c r="F253" s="1" t="s">
        <v>56</v>
      </c>
      <c r="G253">
        <v>3519</v>
      </c>
      <c r="H253">
        <v>10</v>
      </c>
      <c r="I253">
        <v>17595</v>
      </c>
      <c r="J253">
        <v>369495</v>
      </c>
      <c r="K253" s="1" t="s">
        <v>373</v>
      </c>
      <c r="L253" s="2">
        <v>0.79583333333333328</v>
      </c>
      <c r="M253" s="1" t="s">
        <v>36</v>
      </c>
      <c r="N253">
        <v>3519</v>
      </c>
      <c r="O253">
        <v>4761904762</v>
      </c>
      <c r="P253">
        <v>17595</v>
      </c>
      <c r="Q253">
        <v>84</v>
      </c>
    </row>
    <row r="254" spans="1:17" x14ac:dyDescent="0.25">
      <c r="A254" s="1" t="s">
        <v>374</v>
      </c>
      <c r="B254" s="1" t="s">
        <v>26</v>
      </c>
      <c r="C254" s="1" t="s">
        <v>27</v>
      </c>
      <c r="D254" s="1" t="s">
        <v>28</v>
      </c>
      <c r="E254" s="1" t="s">
        <v>21</v>
      </c>
      <c r="F254" s="1" t="s">
        <v>40</v>
      </c>
      <c r="G254">
        <v>1439</v>
      </c>
      <c r="H254">
        <v>2</v>
      </c>
      <c r="I254">
        <v>1439</v>
      </c>
      <c r="J254">
        <v>30219</v>
      </c>
      <c r="K254" s="1" t="s">
        <v>83</v>
      </c>
      <c r="L254" s="2">
        <v>0.82222222222222219</v>
      </c>
      <c r="M254" s="1" t="s">
        <v>36</v>
      </c>
      <c r="N254">
        <v>2878</v>
      </c>
      <c r="O254">
        <v>4761904762</v>
      </c>
      <c r="P254">
        <v>1439</v>
      </c>
      <c r="Q254">
        <v>72</v>
      </c>
    </row>
    <row r="255" spans="1:17" x14ac:dyDescent="0.25">
      <c r="A255" s="1" t="s">
        <v>375</v>
      </c>
      <c r="B255" s="1" t="s">
        <v>18</v>
      </c>
      <c r="C255" s="1" t="s">
        <v>19</v>
      </c>
      <c r="D255" s="1" t="s">
        <v>28</v>
      </c>
      <c r="E255" s="1" t="s">
        <v>33</v>
      </c>
      <c r="F255" s="1" t="s">
        <v>34</v>
      </c>
      <c r="G255">
        <v>2375</v>
      </c>
      <c r="H255">
        <v>4</v>
      </c>
      <c r="I255">
        <v>475</v>
      </c>
      <c r="J255">
        <v>9975</v>
      </c>
      <c r="K255" s="1" t="s">
        <v>113</v>
      </c>
      <c r="L255" s="2">
        <v>0.47361111111111109</v>
      </c>
      <c r="M255" s="1" t="s">
        <v>31</v>
      </c>
      <c r="N255">
        <v>95</v>
      </c>
      <c r="O255">
        <v>4761904762</v>
      </c>
      <c r="P255">
        <v>475</v>
      </c>
      <c r="Q255">
        <v>52</v>
      </c>
    </row>
    <row r="256" spans="1:17" x14ac:dyDescent="0.25">
      <c r="A256" s="1" t="s">
        <v>376</v>
      </c>
      <c r="B256" s="1" t="s">
        <v>18</v>
      </c>
      <c r="C256" s="1" t="s">
        <v>19</v>
      </c>
      <c r="D256" s="1" t="s">
        <v>20</v>
      </c>
      <c r="E256" s="1" t="s">
        <v>33</v>
      </c>
      <c r="F256" s="1" t="s">
        <v>34</v>
      </c>
      <c r="G256">
        <v>589</v>
      </c>
      <c r="H256">
        <v>8</v>
      </c>
      <c r="I256">
        <v>2356</v>
      </c>
      <c r="J256">
        <v>49476</v>
      </c>
      <c r="K256" s="1" t="s">
        <v>154</v>
      </c>
      <c r="L256" s="2">
        <v>0.47430555555555554</v>
      </c>
      <c r="M256" s="1" t="s">
        <v>31</v>
      </c>
      <c r="N256">
        <v>4712</v>
      </c>
      <c r="O256">
        <v>4761904762</v>
      </c>
      <c r="P256">
        <v>2356</v>
      </c>
      <c r="Q256">
        <v>89</v>
      </c>
    </row>
    <row r="257" spans="1:17" x14ac:dyDescent="0.25">
      <c r="A257" s="1" t="s">
        <v>377</v>
      </c>
      <c r="B257" s="1" t="s">
        <v>51</v>
      </c>
      <c r="C257" s="1" t="s">
        <v>52</v>
      </c>
      <c r="D257" s="1" t="s">
        <v>20</v>
      </c>
      <c r="E257" s="1" t="s">
        <v>33</v>
      </c>
      <c r="F257" s="1" t="s">
        <v>56</v>
      </c>
      <c r="G257">
        <v>3262</v>
      </c>
      <c r="H257">
        <v>4</v>
      </c>
      <c r="I257">
        <v>6524</v>
      </c>
      <c r="J257">
        <v>137004</v>
      </c>
      <c r="K257" s="1" t="s">
        <v>260</v>
      </c>
      <c r="L257" s="2">
        <v>0.59166666666666667</v>
      </c>
      <c r="M257" s="1" t="s">
        <v>31</v>
      </c>
      <c r="N257">
        <v>13048</v>
      </c>
      <c r="O257">
        <v>4761904762</v>
      </c>
      <c r="P257">
        <v>6524</v>
      </c>
      <c r="Q257">
        <v>9</v>
      </c>
    </row>
    <row r="258" spans="1:17" x14ac:dyDescent="0.25">
      <c r="A258" s="1" t="s">
        <v>378</v>
      </c>
      <c r="B258" s="1" t="s">
        <v>18</v>
      </c>
      <c r="C258" s="1" t="s">
        <v>19</v>
      </c>
      <c r="D258" s="1" t="s">
        <v>20</v>
      </c>
      <c r="E258" s="1" t="s">
        <v>33</v>
      </c>
      <c r="F258" s="1" t="s">
        <v>29</v>
      </c>
      <c r="G258">
        <v>6635</v>
      </c>
      <c r="H258">
        <v>1</v>
      </c>
      <c r="I258">
        <v>33175</v>
      </c>
      <c r="J258">
        <v>696675</v>
      </c>
      <c r="K258" s="1" t="s">
        <v>339</v>
      </c>
      <c r="L258" s="2">
        <v>0.44861111111111113</v>
      </c>
      <c r="M258" s="1" t="s">
        <v>36</v>
      </c>
      <c r="N258">
        <v>6635</v>
      </c>
      <c r="O258">
        <v>4761904762</v>
      </c>
      <c r="P258">
        <v>33175</v>
      </c>
      <c r="Q258">
        <v>97</v>
      </c>
    </row>
    <row r="259" spans="1:17" x14ac:dyDescent="0.25">
      <c r="A259" s="1" t="s">
        <v>379</v>
      </c>
      <c r="B259" s="1" t="s">
        <v>18</v>
      </c>
      <c r="C259" s="1" t="s">
        <v>19</v>
      </c>
      <c r="D259" s="1" t="s">
        <v>20</v>
      </c>
      <c r="E259" s="1" t="s">
        <v>33</v>
      </c>
      <c r="F259" s="1" t="s">
        <v>34</v>
      </c>
      <c r="G259">
        <v>2591</v>
      </c>
      <c r="H259">
        <v>6</v>
      </c>
      <c r="I259">
        <v>7773</v>
      </c>
      <c r="J259">
        <v>163233</v>
      </c>
      <c r="K259" s="1" t="s">
        <v>210</v>
      </c>
      <c r="L259" s="2">
        <v>0.42777777777777776</v>
      </c>
      <c r="M259" s="1" t="s">
        <v>24</v>
      </c>
      <c r="N259">
        <v>15546</v>
      </c>
      <c r="O259">
        <v>4761904762</v>
      </c>
      <c r="P259">
        <v>7773</v>
      </c>
      <c r="Q259">
        <v>87</v>
      </c>
    </row>
    <row r="260" spans="1:17" x14ac:dyDescent="0.25">
      <c r="A260" s="1" t="s">
        <v>380</v>
      </c>
      <c r="B260" s="1" t="s">
        <v>18</v>
      </c>
      <c r="C260" s="1" t="s">
        <v>19</v>
      </c>
      <c r="D260" s="1" t="s">
        <v>20</v>
      </c>
      <c r="E260" s="1" t="s">
        <v>33</v>
      </c>
      <c r="F260" s="1" t="s">
        <v>29</v>
      </c>
      <c r="G260">
        <v>3225</v>
      </c>
      <c r="H260">
        <v>4</v>
      </c>
      <c r="I260">
        <v>645</v>
      </c>
      <c r="J260">
        <v>13545</v>
      </c>
      <c r="K260" s="1" t="s">
        <v>291</v>
      </c>
      <c r="L260" s="2">
        <v>0.52638888888888891</v>
      </c>
      <c r="M260" s="1" t="s">
        <v>24</v>
      </c>
      <c r="N260">
        <v>129</v>
      </c>
      <c r="O260">
        <v>4761904762</v>
      </c>
      <c r="P260">
        <v>645</v>
      </c>
      <c r="Q260">
        <v>65</v>
      </c>
    </row>
    <row r="261" spans="1:17" x14ac:dyDescent="0.25">
      <c r="A261" s="1" t="s">
        <v>381</v>
      </c>
      <c r="B261" s="1" t="s">
        <v>26</v>
      </c>
      <c r="C261" s="1" t="s">
        <v>27</v>
      </c>
      <c r="D261" s="1" t="s">
        <v>20</v>
      </c>
      <c r="E261" s="1" t="s">
        <v>33</v>
      </c>
      <c r="F261" s="1" t="s">
        <v>29</v>
      </c>
      <c r="G261">
        <v>6594</v>
      </c>
      <c r="H261">
        <v>4</v>
      </c>
      <c r="I261">
        <v>13188</v>
      </c>
      <c r="J261">
        <v>276948</v>
      </c>
      <c r="K261" s="1" t="s">
        <v>63</v>
      </c>
      <c r="L261" s="2">
        <v>0.54513888888888884</v>
      </c>
      <c r="M261" s="1" t="s">
        <v>36</v>
      </c>
      <c r="N261">
        <v>26376</v>
      </c>
      <c r="O261">
        <v>4761904762</v>
      </c>
      <c r="P261">
        <v>13188</v>
      </c>
      <c r="Q261">
        <v>69</v>
      </c>
    </row>
    <row r="262" spans="1:17" x14ac:dyDescent="0.25">
      <c r="A262" s="1" t="s">
        <v>382</v>
      </c>
      <c r="B262" s="1" t="s">
        <v>18</v>
      </c>
      <c r="C262" s="1" t="s">
        <v>19</v>
      </c>
      <c r="D262" s="1" t="s">
        <v>28</v>
      </c>
      <c r="E262" s="1" t="s">
        <v>21</v>
      </c>
      <c r="F262" s="1" t="s">
        <v>29</v>
      </c>
      <c r="G262">
        <v>7506</v>
      </c>
      <c r="H262">
        <v>9</v>
      </c>
      <c r="I262">
        <v>33777</v>
      </c>
      <c r="J262">
        <v>709317</v>
      </c>
      <c r="K262" s="1" t="s">
        <v>121</v>
      </c>
      <c r="L262" s="2">
        <v>0.55902777777777779</v>
      </c>
      <c r="M262" s="1" t="s">
        <v>24</v>
      </c>
      <c r="N262">
        <v>67554</v>
      </c>
      <c r="O262">
        <v>4761904762</v>
      </c>
      <c r="P262">
        <v>33777</v>
      </c>
      <c r="Q262">
        <v>62</v>
      </c>
    </row>
    <row r="263" spans="1:17" x14ac:dyDescent="0.25">
      <c r="A263" s="1" t="s">
        <v>383</v>
      </c>
      <c r="B263" s="1" t="s">
        <v>26</v>
      </c>
      <c r="C263" s="1" t="s">
        <v>27</v>
      </c>
      <c r="D263" s="1" t="s">
        <v>28</v>
      </c>
      <c r="E263" s="1" t="s">
        <v>21</v>
      </c>
      <c r="F263" s="1" t="s">
        <v>56</v>
      </c>
      <c r="G263">
        <v>1645</v>
      </c>
      <c r="H263">
        <v>4</v>
      </c>
      <c r="I263">
        <v>329</v>
      </c>
      <c r="J263">
        <v>6909</v>
      </c>
      <c r="K263" s="1" t="s">
        <v>128</v>
      </c>
      <c r="L263" s="2">
        <v>0.62013888888888891</v>
      </c>
      <c r="M263" s="1" t="s">
        <v>24</v>
      </c>
      <c r="N263">
        <v>658</v>
      </c>
      <c r="O263">
        <v>4761904762</v>
      </c>
      <c r="P263">
        <v>329</v>
      </c>
      <c r="Q263">
        <v>56</v>
      </c>
    </row>
    <row r="264" spans="1:17" x14ac:dyDescent="0.25">
      <c r="A264" s="1" t="s">
        <v>384</v>
      </c>
      <c r="B264" s="1" t="s">
        <v>51</v>
      </c>
      <c r="C264" s="1" t="s">
        <v>52</v>
      </c>
      <c r="D264" s="1" t="s">
        <v>20</v>
      </c>
      <c r="E264" s="1" t="s">
        <v>21</v>
      </c>
      <c r="F264" s="1" t="s">
        <v>56</v>
      </c>
      <c r="G264">
        <v>383</v>
      </c>
      <c r="H264">
        <v>4</v>
      </c>
      <c r="I264">
        <v>766</v>
      </c>
      <c r="J264">
        <v>16086</v>
      </c>
      <c r="K264" s="1" t="s">
        <v>147</v>
      </c>
      <c r="L264" s="2">
        <v>0.80694444444444446</v>
      </c>
      <c r="M264" s="1" t="s">
        <v>31</v>
      </c>
      <c r="N264">
        <v>1532</v>
      </c>
      <c r="O264">
        <v>4761904762</v>
      </c>
      <c r="P264">
        <v>766</v>
      </c>
      <c r="Q264">
        <v>57</v>
      </c>
    </row>
    <row r="265" spans="1:17" x14ac:dyDescent="0.25">
      <c r="A265" s="1" t="s">
        <v>385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40</v>
      </c>
      <c r="G265">
        <v>2224</v>
      </c>
      <c r="H265">
        <v>10</v>
      </c>
      <c r="I265">
        <v>1112</v>
      </c>
      <c r="J265">
        <v>23352</v>
      </c>
      <c r="K265" s="1" t="s">
        <v>191</v>
      </c>
      <c r="L265" s="2">
        <v>0.45833333333333331</v>
      </c>
      <c r="M265" s="1" t="s">
        <v>31</v>
      </c>
      <c r="N265">
        <v>2224</v>
      </c>
      <c r="O265">
        <v>4761904762</v>
      </c>
      <c r="P265">
        <v>1112</v>
      </c>
      <c r="Q265">
        <v>42</v>
      </c>
    </row>
    <row r="266" spans="1:17" x14ac:dyDescent="0.25">
      <c r="A266" s="1" t="s">
        <v>386</v>
      </c>
      <c r="B266" s="1" t="s">
        <v>51</v>
      </c>
      <c r="C266" s="1" t="s">
        <v>52</v>
      </c>
      <c r="D266" s="1" t="s">
        <v>28</v>
      </c>
      <c r="E266" s="1" t="s">
        <v>33</v>
      </c>
      <c r="F266" s="1" t="s">
        <v>40</v>
      </c>
      <c r="G266">
        <v>5445</v>
      </c>
      <c r="H266">
        <v>1</v>
      </c>
      <c r="I266">
        <v>27225</v>
      </c>
      <c r="J266">
        <v>571725</v>
      </c>
      <c r="K266" s="1" t="s">
        <v>349</v>
      </c>
      <c r="L266" s="2">
        <v>0.80833333333333335</v>
      </c>
      <c r="M266" s="1" t="s">
        <v>24</v>
      </c>
      <c r="N266">
        <v>5445</v>
      </c>
      <c r="O266">
        <v>4761904762</v>
      </c>
      <c r="P266">
        <v>27225</v>
      </c>
      <c r="Q266">
        <v>79</v>
      </c>
    </row>
    <row r="267" spans="1:17" x14ac:dyDescent="0.25">
      <c r="A267" s="1" t="s">
        <v>387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40</v>
      </c>
      <c r="G267">
        <v>984</v>
      </c>
      <c r="H267">
        <v>7</v>
      </c>
      <c r="I267">
        <v>3444</v>
      </c>
      <c r="J267">
        <v>72324</v>
      </c>
      <c r="K267" s="1" t="s">
        <v>137</v>
      </c>
      <c r="L267" s="2">
        <v>0.52986111111111112</v>
      </c>
      <c r="M267" s="1" t="s">
        <v>36</v>
      </c>
      <c r="N267">
        <v>6888</v>
      </c>
      <c r="O267">
        <v>4761904762</v>
      </c>
      <c r="P267">
        <v>3444</v>
      </c>
      <c r="Q267">
        <v>87</v>
      </c>
    </row>
    <row r="268" spans="1:17" x14ac:dyDescent="0.25">
      <c r="A268" s="1" t="s">
        <v>388</v>
      </c>
      <c r="B268" s="1" t="s">
        <v>26</v>
      </c>
      <c r="C268" s="1" t="s">
        <v>27</v>
      </c>
      <c r="D268" s="1" t="s">
        <v>28</v>
      </c>
      <c r="E268" s="1" t="s">
        <v>33</v>
      </c>
      <c r="F268" s="1" t="s">
        <v>34</v>
      </c>
      <c r="G268">
        <v>3547</v>
      </c>
      <c r="H268">
        <v>4</v>
      </c>
      <c r="I268">
        <v>7094</v>
      </c>
      <c r="J268">
        <v>148974</v>
      </c>
      <c r="K268" s="1" t="s">
        <v>389</v>
      </c>
      <c r="L268" s="2">
        <v>0.72361111111111109</v>
      </c>
      <c r="M268" s="1" t="s">
        <v>36</v>
      </c>
      <c r="N268">
        <v>14188</v>
      </c>
      <c r="O268">
        <v>4761904762</v>
      </c>
      <c r="P268">
        <v>7094</v>
      </c>
      <c r="Q268">
        <v>69</v>
      </c>
    </row>
    <row r="269" spans="1:17" x14ac:dyDescent="0.25">
      <c r="A269" s="1" t="s">
        <v>390</v>
      </c>
      <c r="B269" s="1" t="s">
        <v>51</v>
      </c>
      <c r="C269" s="1" t="s">
        <v>52</v>
      </c>
      <c r="D269" s="1" t="s">
        <v>20</v>
      </c>
      <c r="E269" s="1" t="s">
        <v>21</v>
      </c>
      <c r="F269" s="1" t="s">
        <v>53</v>
      </c>
      <c r="G269">
        <v>746</v>
      </c>
      <c r="H269">
        <v>10</v>
      </c>
      <c r="I269">
        <v>373</v>
      </c>
      <c r="J269">
        <v>7833</v>
      </c>
      <c r="K269" s="1" t="s">
        <v>230</v>
      </c>
      <c r="L269" s="2">
        <v>0.87152777777777779</v>
      </c>
      <c r="M269" s="1" t="s">
        <v>31</v>
      </c>
      <c r="N269">
        <v>746</v>
      </c>
      <c r="O269">
        <v>4761904762</v>
      </c>
      <c r="P269">
        <v>373</v>
      </c>
      <c r="Q269">
        <v>95</v>
      </c>
    </row>
    <row r="270" spans="1:17" x14ac:dyDescent="0.25">
      <c r="A270" s="1" t="s">
        <v>391</v>
      </c>
      <c r="B270" s="1" t="s">
        <v>18</v>
      </c>
      <c r="C270" s="1" t="s">
        <v>19</v>
      </c>
      <c r="D270" s="1" t="s">
        <v>20</v>
      </c>
      <c r="E270" s="1" t="s">
        <v>33</v>
      </c>
      <c r="F270" s="1" t="s">
        <v>34</v>
      </c>
      <c r="G270">
        <v>7074</v>
      </c>
      <c r="H270">
        <v>4</v>
      </c>
      <c r="I270">
        <v>14148</v>
      </c>
      <c r="J270">
        <v>297108</v>
      </c>
      <c r="K270" s="1" t="s">
        <v>23</v>
      </c>
      <c r="L270" s="2">
        <v>0.67013888888888884</v>
      </c>
      <c r="M270" s="1" t="s">
        <v>36</v>
      </c>
      <c r="N270">
        <v>28296</v>
      </c>
      <c r="O270">
        <v>4761904762</v>
      </c>
      <c r="P270">
        <v>14148</v>
      </c>
      <c r="Q270">
        <v>44</v>
      </c>
    </row>
    <row r="271" spans="1:17" x14ac:dyDescent="0.25">
      <c r="A271" s="1" t="s">
        <v>392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34</v>
      </c>
      <c r="G271">
        <v>3554</v>
      </c>
      <c r="H271">
        <v>10</v>
      </c>
      <c r="I271">
        <v>1777</v>
      </c>
      <c r="J271">
        <v>37317</v>
      </c>
      <c r="K271" s="1" t="s">
        <v>265</v>
      </c>
      <c r="L271" s="2">
        <v>0.56527777777777777</v>
      </c>
      <c r="M271" s="1" t="s">
        <v>24</v>
      </c>
      <c r="N271">
        <v>3554</v>
      </c>
      <c r="O271">
        <v>4761904762</v>
      </c>
      <c r="P271">
        <v>1777</v>
      </c>
      <c r="Q271">
        <v>7</v>
      </c>
    </row>
    <row r="272" spans="1:17" x14ac:dyDescent="0.25">
      <c r="A272" s="1" t="s">
        <v>393</v>
      </c>
      <c r="B272" s="1" t="s">
        <v>51</v>
      </c>
      <c r="C272" s="1" t="s">
        <v>52</v>
      </c>
      <c r="D272" s="1" t="s">
        <v>28</v>
      </c>
      <c r="E272" s="1" t="s">
        <v>21</v>
      </c>
      <c r="F272" s="1" t="s">
        <v>40</v>
      </c>
      <c r="G272">
        <v>6743</v>
      </c>
      <c r="H272">
        <v>5</v>
      </c>
      <c r="I272">
        <v>168575</v>
      </c>
      <c r="J272">
        <v>3540075</v>
      </c>
      <c r="K272" s="1" t="s">
        <v>143</v>
      </c>
      <c r="L272" s="2">
        <v>0.75902777777777775</v>
      </c>
      <c r="M272" s="1" t="s">
        <v>24</v>
      </c>
      <c r="N272">
        <v>33715</v>
      </c>
      <c r="O272">
        <v>4761904762</v>
      </c>
      <c r="P272">
        <v>168575</v>
      </c>
      <c r="Q272">
        <v>63</v>
      </c>
    </row>
    <row r="273" spans="1:17" x14ac:dyDescent="0.25">
      <c r="A273" s="1" t="s">
        <v>394</v>
      </c>
      <c r="B273" s="1" t="s">
        <v>26</v>
      </c>
      <c r="C273" s="1" t="s">
        <v>27</v>
      </c>
      <c r="D273" s="1" t="s">
        <v>20</v>
      </c>
      <c r="E273" s="1" t="s">
        <v>21</v>
      </c>
      <c r="F273" s="1" t="s">
        <v>22</v>
      </c>
      <c r="G273">
        <v>2112</v>
      </c>
      <c r="H273">
        <v>2</v>
      </c>
      <c r="I273">
        <v>2112</v>
      </c>
      <c r="J273">
        <v>44352</v>
      </c>
      <c r="K273" s="1" t="s">
        <v>282</v>
      </c>
      <c r="L273" s="2">
        <v>0.80347222222222225</v>
      </c>
      <c r="M273" s="1" t="s">
        <v>31</v>
      </c>
      <c r="N273">
        <v>4224</v>
      </c>
      <c r="O273">
        <v>4761904762</v>
      </c>
      <c r="P273">
        <v>2112</v>
      </c>
      <c r="Q273">
        <v>97</v>
      </c>
    </row>
    <row r="274" spans="1:17" x14ac:dyDescent="0.25">
      <c r="A274" s="1" t="s">
        <v>395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34</v>
      </c>
      <c r="G274">
        <v>2154</v>
      </c>
      <c r="H274">
        <v>9</v>
      </c>
      <c r="I274">
        <v>9693</v>
      </c>
      <c r="J274">
        <v>203553</v>
      </c>
      <c r="K274" s="1" t="s">
        <v>99</v>
      </c>
      <c r="L274" s="2">
        <v>0.48888888888888887</v>
      </c>
      <c r="M274" s="1" t="s">
        <v>36</v>
      </c>
      <c r="N274">
        <v>19386</v>
      </c>
      <c r="O274">
        <v>4761904762</v>
      </c>
      <c r="P274">
        <v>9693</v>
      </c>
      <c r="Q274">
        <v>88</v>
      </c>
    </row>
    <row r="275" spans="1:17" x14ac:dyDescent="0.25">
      <c r="A275" s="1" t="s">
        <v>396</v>
      </c>
      <c r="B275" s="1" t="s">
        <v>18</v>
      </c>
      <c r="C275" s="1" t="s">
        <v>19</v>
      </c>
      <c r="D275" s="1" t="s">
        <v>28</v>
      </c>
      <c r="E275" s="1" t="s">
        <v>21</v>
      </c>
      <c r="F275" s="1" t="s">
        <v>34</v>
      </c>
      <c r="G275">
        <v>1203</v>
      </c>
      <c r="H275">
        <v>2</v>
      </c>
      <c r="I275">
        <v>1203</v>
      </c>
      <c r="J275">
        <v>25263</v>
      </c>
      <c r="K275" s="1" t="s">
        <v>38</v>
      </c>
      <c r="L275" s="2">
        <v>0.66041666666666665</v>
      </c>
      <c r="M275" s="1" t="s">
        <v>31</v>
      </c>
      <c r="N275">
        <v>2406</v>
      </c>
      <c r="O275">
        <v>4761904762</v>
      </c>
      <c r="P275">
        <v>1203</v>
      </c>
      <c r="Q275">
        <v>51</v>
      </c>
    </row>
    <row r="276" spans="1:17" x14ac:dyDescent="0.25">
      <c r="A276" s="1" t="s">
        <v>397</v>
      </c>
      <c r="B276" s="1" t="s">
        <v>51</v>
      </c>
      <c r="C276" s="1" t="s">
        <v>52</v>
      </c>
      <c r="D276" s="1" t="s">
        <v>28</v>
      </c>
      <c r="E276" s="1" t="s">
        <v>21</v>
      </c>
      <c r="F276" s="1" t="s">
        <v>22</v>
      </c>
      <c r="G276">
        <v>9971</v>
      </c>
      <c r="H276">
        <v>6</v>
      </c>
      <c r="I276">
        <v>29913</v>
      </c>
      <c r="J276">
        <v>628173</v>
      </c>
      <c r="K276" s="1" t="s">
        <v>349</v>
      </c>
      <c r="L276" s="2">
        <v>0.70277777777777772</v>
      </c>
      <c r="M276" s="1" t="s">
        <v>24</v>
      </c>
      <c r="N276">
        <v>59826</v>
      </c>
      <c r="O276">
        <v>4761904762</v>
      </c>
      <c r="P276">
        <v>29913</v>
      </c>
      <c r="Q276">
        <v>79</v>
      </c>
    </row>
    <row r="277" spans="1:17" x14ac:dyDescent="0.25">
      <c r="A277" s="1" t="s">
        <v>398</v>
      </c>
      <c r="B277" s="1" t="s">
        <v>51</v>
      </c>
      <c r="C277" s="1" t="s">
        <v>52</v>
      </c>
      <c r="D277" s="1" t="s">
        <v>28</v>
      </c>
      <c r="E277" s="1" t="s">
        <v>33</v>
      </c>
      <c r="F277" s="1" t="s">
        <v>56</v>
      </c>
      <c r="G277">
        <v>4797</v>
      </c>
      <c r="H277">
        <v>7</v>
      </c>
      <c r="I277">
        <v>167895</v>
      </c>
      <c r="J277">
        <v>3525795</v>
      </c>
      <c r="K277" s="1" t="s">
        <v>99</v>
      </c>
      <c r="L277" s="2">
        <v>0.86944444444444446</v>
      </c>
      <c r="M277" s="1" t="s">
        <v>31</v>
      </c>
      <c r="N277">
        <v>33579</v>
      </c>
      <c r="O277">
        <v>4761904762</v>
      </c>
      <c r="P277">
        <v>167895</v>
      </c>
      <c r="Q277">
        <v>62</v>
      </c>
    </row>
    <row r="278" spans="1:17" x14ac:dyDescent="0.25">
      <c r="A278" s="1" t="s">
        <v>399</v>
      </c>
      <c r="B278" s="1" t="s">
        <v>26</v>
      </c>
      <c r="C278" s="1" t="s">
        <v>27</v>
      </c>
      <c r="D278" s="1" t="s">
        <v>20</v>
      </c>
      <c r="E278" s="1" t="s">
        <v>21</v>
      </c>
      <c r="F278" s="1" t="s">
        <v>34</v>
      </c>
      <c r="G278">
        <v>2182</v>
      </c>
      <c r="H278">
        <v>10</v>
      </c>
      <c r="I278">
        <v>1091</v>
      </c>
      <c r="J278">
        <v>22911</v>
      </c>
      <c r="K278" s="1" t="s">
        <v>99</v>
      </c>
      <c r="L278" s="2">
        <v>0.73333333333333328</v>
      </c>
      <c r="M278" s="1" t="s">
        <v>31</v>
      </c>
      <c r="N278">
        <v>2182</v>
      </c>
      <c r="O278">
        <v>4761904762</v>
      </c>
      <c r="P278">
        <v>1091</v>
      </c>
      <c r="Q278">
        <v>71</v>
      </c>
    </row>
    <row r="279" spans="1:17" x14ac:dyDescent="0.25">
      <c r="A279" s="1" t="s">
        <v>400</v>
      </c>
      <c r="B279" s="1" t="s">
        <v>26</v>
      </c>
      <c r="C279" s="1" t="s">
        <v>27</v>
      </c>
      <c r="D279" s="1" t="s">
        <v>28</v>
      </c>
      <c r="E279" s="1" t="s">
        <v>21</v>
      </c>
      <c r="F279" s="1" t="s">
        <v>56</v>
      </c>
      <c r="G279">
        <v>9542</v>
      </c>
      <c r="H279">
        <v>4</v>
      </c>
      <c r="I279">
        <v>19084</v>
      </c>
      <c r="J279">
        <v>400764</v>
      </c>
      <c r="K279" s="1" t="s">
        <v>108</v>
      </c>
      <c r="L279" s="2">
        <v>0.55763888888888891</v>
      </c>
      <c r="M279" s="1" t="s">
        <v>24</v>
      </c>
      <c r="N279">
        <v>38168</v>
      </c>
      <c r="O279">
        <v>4761904762</v>
      </c>
      <c r="P279">
        <v>19084</v>
      </c>
      <c r="Q279">
        <v>64</v>
      </c>
    </row>
    <row r="280" spans="1:17" x14ac:dyDescent="0.25">
      <c r="A280" s="1" t="s">
        <v>401</v>
      </c>
      <c r="B280" s="1" t="s">
        <v>26</v>
      </c>
      <c r="C280" s="1" t="s">
        <v>27</v>
      </c>
      <c r="D280" s="1" t="s">
        <v>20</v>
      </c>
      <c r="E280" s="1" t="s">
        <v>33</v>
      </c>
      <c r="F280" s="1" t="s">
        <v>56</v>
      </c>
      <c r="G280">
        <v>7099</v>
      </c>
      <c r="H280">
        <v>10</v>
      </c>
      <c r="I280">
        <v>35495</v>
      </c>
      <c r="J280">
        <v>745395</v>
      </c>
      <c r="K280" s="1" t="s">
        <v>329</v>
      </c>
      <c r="L280" s="2">
        <v>0.68611111111111112</v>
      </c>
      <c r="M280" s="1" t="s">
        <v>31</v>
      </c>
      <c r="N280">
        <v>7099</v>
      </c>
      <c r="O280">
        <v>4761904762</v>
      </c>
      <c r="P280">
        <v>35495</v>
      </c>
      <c r="Q280">
        <v>57</v>
      </c>
    </row>
    <row r="281" spans="1:17" x14ac:dyDescent="0.25">
      <c r="A281" s="1" t="s">
        <v>402</v>
      </c>
      <c r="B281" s="1" t="s">
        <v>18</v>
      </c>
      <c r="C281" s="1" t="s">
        <v>19</v>
      </c>
      <c r="D281" s="1" t="s">
        <v>20</v>
      </c>
      <c r="E281" s="1" t="s">
        <v>33</v>
      </c>
      <c r="F281" s="1" t="s">
        <v>40</v>
      </c>
      <c r="G281">
        <v>4402</v>
      </c>
      <c r="H281">
        <v>10</v>
      </c>
      <c r="I281">
        <v>2201</v>
      </c>
      <c r="J281">
        <v>46221</v>
      </c>
      <c r="K281" s="1" t="s">
        <v>329</v>
      </c>
      <c r="L281" s="2">
        <v>0.83125000000000004</v>
      </c>
      <c r="M281" s="1" t="s">
        <v>36</v>
      </c>
      <c r="N281">
        <v>4402</v>
      </c>
      <c r="O281">
        <v>4761904762</v>
      </c>
      <c r="P281">
        <v>2201</v>
      </c>
      <c r="Q281">
        <v>96</v>
      </c>
    </row>
    <row r="282" spans="1:17" x14ac:dyDescent="0.25">
      <c r="A282" s="1" t="s">
        <v>403</v>
      </c>
      <c r="B282" s="1" t="s">
        <v>18</v>
      </c>
      <c r="C282" s="1" t="s">
        <v>19</v>
      </c>
      <c r="D282" s="1" t="s">
        <v>28</v>
      </c>
      <c r="E282" s="1" t="s">
        <v>21</v>
      </c>
      <c r="F282" s="1" t="s">
        <v>34</v>
      </c>
      <c r="G282">
        <v>6996</v>
      </c>
      <c r="H282">
        <v>8</v>
      </c>
      <c r="I282">
        <v>27984</v>
      </c>
      <c r="J282">
        <v>587664</v>
      </c>
      <c r="K282" s="1" t="s">
        <v>139</v>
      </c>
      <c r="L282" s="2">
        <v>0.70902777777777781</v>
      </c>
      <c r="M282" s="1" t="s">
        <v>36</v>
      </c>
      <c r="N282">
        <v>55968</v>
      </c>
      <c r="O282">
        <v>4761904762</v>
      </c>
      <c r="P282">
        <v>27984</v>
      </c>
      <c r="Q282">
        <v>64</v>
      </c>
    </row>
    <row r="283" spans="1:17" x14ac:dyDescent="0.25">
      <c r="A283" s="1" t="s">
        <v>404</v>
      </c>
      <c r="B283" s="1" t="s">
        <v>26</v>
      </c>
      <c r="C283" s="1" t="s">
        <v>27</v>
      </c>
      <c r="D283" s="1" t="s">
        <v>28</v>
      </c>
      <c r="E283" s="1" t="s">
        <v>33</v>
      </c>
      <c r="F283" s="1" t="s">
        <v>34</v>
      </c>
      <c r="G283">
        <v>37</v>
      </c>
      <c r="H283">
        <v>1</v>
      </c>
      <c r="I283">
        <v>185</v>
      </c>
      <c r="J283">
        <v>3885</v>
      </c>
      <c r="K283" s="1" t="s">
        <v>143</v>
      </c>
      <c r="L283" s="2">
        <v>0.56180555555555556</v>
      </c>
      <c r="M283" s="1" t="s">
        <v>36</v>
      </c>
      <c r="N283">
        <v>37</v>
      </c>
      <c r="O283">
        <v>4761904762</v>
      </c>
      <c r="P283">
        <v>185</v>
      </c>
      <c r="Q283">
        <v>79</v>
      </c>
    </row>
    <row r="284" spans="1:17" x14ac:dyDescent="0.25">
      <c r="A284" s="1" t="s">
        <v>405</v>
      </c>
      <c r="B284" s="1" t="s">
        <v>18</v>
      </c>
      <c r="C284" s="1" t="s">
        <v>19</v>
      </c>
      <c r="D284" s="1" t="s">
        <v>28</v>
      </c>
      <c r="E284" s="1" t="s">
        <v>21</v>
      </c>
      <c r="F284" s="1" t="s">
        <v>40</v>
      </c>
      <c r="G284">
        <v>1534</v>
      </c>
      <c r="H284">
        <v>1</v>
      </c>
      <c r="I284">
        <v>767</v>
      </c>
      <c r="J284">
        <v>16107</v>
      </c>
      <c r="K284" s="1" t="s">
        <v>154</v>
      </c>
      <c r="L284" s="2">
        <v>0.46458333333333335</v>
      </c>
      <c r="M284" s="1" t="s">
        <v>31</v>
      </c>
      <c r="N284">
        <v>1534</v>
      </c>
      <c r="O284">
        <v>4761904762</v>
      </c>
      <c r="P284">
        <v>767</v>
      </c>
      <c r="Q284">
        <v>65</v>
      </c>
    </row>
    <row r="285" spans="1:17" x14ac:dyDescent="0.25">
      <c r="A285" s="1" t="s">
        <v>406</v>
      </c>
      <c r="B285" s="1" t="s">
        <v>18</v>
      </c>
      <c r="C285" s="1" t="s">
        <v>19</v>
      </c>
      <c r="D285" s="1" t="s">
        <v>20</v>
      </c>
      <c r="E285" s="1" t="s">
        <v>33</v>
      </c>
      <c r="F285" s="1" t="s">
        <v>22</v>
      </c>
      <c r="G285">
        <v>9983</v>
      </c>
      <c r="H285">
        <v>6</v>
      </c>
      <c r="I285">
        <v>29949</v>
      </c>
      <c r="J285">
        <v>628929</v>
      </c>
      <c r="K285" s="1" t="s">
        <v>111</v>
      </c>
      <c r="L285" s="2">
        <v>0.62638888888888888</v>
      </c>
      <c r="M285" s="1" t="s">
        <v>24</v>
      </c>
      <c r="N285">
        <v>59898</v>
      </c>
      <c r="O285">
        <v>4761904762</v>
      </c>
      <c r="P285">
        <v>29949</v>
      </c>
      <c r="Q285">
        <v>85</v>
      </c>
    </row>
    <row r="286" spans="1:17" x14ac:dyDescent="0.25">
      <c r="A286" s="1" t="s">
        <v>407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>
        <v>4767</v>
      </c>
      <c r="H286">
        <v>4</v>
      </c>
      <c r="I286">
        <v>9534</v>
      </c>
      <c r="J286">
        <v>200214</v>
      </c>
      <c r="K286" s="1" t="s">
        <v>137</v>
      </c>
      <c r="L286" s="2">
        <v>0.59791666666666665</v>
      </c>
      <c r="M286" s="1" t="s">
        <v>31</v>
      </c>
      <c r="N286">
        <v>19068</v>
      </c>
      <c r="O286">
        <v>4761904762</v>
      </c>
      <c r="P286">
        <v>9534</v>
      </c>
      <c r="Q286">
        <v>91</v>
      </c>
    </row>
    <row r="287" spans="1:17" x14ac:dyDescent="0.25">
      <c r="A287" s="1" t="s">
        <v>408</v>
      </c>
      <c r="B287" s="1" t="s">
        <v>51</v>
      </c>
      <c r="C287" s="1" t="s">
        <v>52</v>
      </c>
      <c r="D287" s="1" t="s">
        <v>28</v>
      </c>
      <c r="E287" s="1" t="s">
        <v>33</v>
      </c>
      <c r="F287" s="1" t="s">
        <v>22</v>
      </c>
      <c r="G287">
        <v>6668</v>
      </c>
      <c r="H287">
        <v>5</v>
      </c>
      <c r="I287">
        <v>1667</v>
      </c>
      <c r="J287">
        <v>35007</v>
      </c>
      <c r="K287" s="1" t="s">
        <v>54</v>
      </c>
      <c r="L287" s="2">
        <v>0.75069444444444444</v>
      </c>
      <c r="M287" s="1" t="s">
        <v>31</v>
      </c>
      <c r="N287">
        <v>3334</v>
      </c>
      <c r="O287">
        <v>4761904762</v>
      </c>
      <c r="P287">
        <v>1667</v>
      </c>
      <c r="Q287">
        <v>76</v>
      </c>
    </row>
    <row r="288" spans="1:17" x14ac:dyDescent="0.25">
      <c r="A288" s="1" t="s">
        <v>409</v>
      </c>
      <c r="B288" s="1" t="s">
        <v>26</v>
      </c>
      <c r="C288" s="1" t="s">
        <v>27</v>
      </c>
      <c r="D288" s="1" t="s">
        <v>20</v>
      </c>
      <c r="E288" s="1" t="s">
        <v>33</v>
      </c>
      <c r="F288" s="1" t="s">
        <v>34</v>
      </c>
      <c r="G288">
        <v>7486</v>
      </c>
      <c r="H288">
        <v>1</v>
      </c>
      <c r="I288">
        <v>3743</v>
      </c>
      <c r="J288">
        <v>78603</v>
      </c>
      <c r="K288" s="1" t="s">
        <v>207</v>
      </c>
      <c r="L288" s="2">
        <v>0.61736111111111114</v>
      </c>
      <c r="M288" s="1" t="s">
        <v>31</v>
      </c>
      <c r="N288">
        <v>7486</v>
      </c>
      <c r="O288">
        <v>4761904762</v>
      </c>
      <c r="P288">
        <v>3743</v>
      </c>
      <c r="Q288">
        <v>69</v>
      </c>
    </row>
    <row r="289" spans="1:17" x14ac:dyDescent="0.25">
      <c r="A289" s="1" t="s">
        <v>410</v>
      </c>
      <c r="B289" s="1" t="s">
        <v>26</v>
      </c>
      <c r="C289" s="1" t="s">
        <v>27</v>
      </c>
      <c r="D289" s="1" t="s">
        <v>28</v>
      </c>
      <c r="E289" s="1" t="s">
        <v>21</v>
      </c>
      <c r="F289" s="1" t="s">
        <v>40</v>
      </c>
      <c r="G289">
        <v>2375</v>
      </c>
      <c r="H289">
        <v>9</v>
      </c>
      <c r="I289">
        <v>106875</v>
      </c>
      <c r="J289">
        <v>2244375</v>
      </c>
      <c r="K289" s="1" t="s">
        <v>339</v>
      </c>
      <c r="L289" s="2">
        <v>0.50138888888888888</v>
      </c>
      <c r="M289" s="1" t="s">
        <v>31</v>
      </c>
      <c r="N289">
        <v>21375</v>
      </c>
      <c r="O289">
        <v>4761904762</v>
      </c>
      <c r="P289">
        <v>106875</v>
      </c>
      <c r="Q289">
        <v>95</v>
      </c>
    </row>
    <row r="290" spans="1:17" x14ac:dyDescent="0.25">
      <c r="A290" s="1" t="s">
        <v>411</v>
      </c>
      <c r="B290" s="1" t="s">
        <v>51</v>
      </c>
      <c r="C290" s="1" t="s">
        <v>52</v>
      </c>
      <c r="D290" s="1" t="s">
        <v>28</v>
      </c>
      <c r="E290" s="1" t="s">
        <v>21</v>
      </c>
      <c r="F290" s="1" t="s">
        <v>53</v>
      </c>
      <c r="G290">
        <v>4851</v>
      </c>
      <c r="H290">
        <v>7</v>
      </c>
      <c r="I290">
        <v>169785</v>
      </c>
      <c r="J290">
        <v>3565485</v>
      </c>
      <c r="K290" s="1" t="s">
        <v>90</v>
      </c>
      <c r="L290" s="2">
        <v>0.5625</v>
      </c>
      <c r="M290" s="1" t="s">
        <v>36</v>
      </c>
      <c r="N290">
        <v>33957</v>
      </c>
      <c r="O290">
        <v>4761904762</v>
      </c>
      <c r="P290">
        <v>169785</v>
      </c>
      <c r="Q290">
        <v>52</v>
      </c>
    </row>
    <row r="291" spans="1:17" x14ac:dyDescent="0.25">
      <c r="A291" s="1" t="s">
        <v>412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34</v>
      </c>
      <c r="G291">
        <v>9488</v>
      </c>
      <c r="H291">
        <v>7</v>
      </c>
      <c r="I291">
        <v>33208</v>
      </c>
      <c r="J291">
        <v>697368</v>
      </c>
      <c r="K291" s="1" t="s">
        <v>123</v>
      </c>
      <c r="L291" s="2">
        <v>0.60972222222222228</v>
      </c>
      <c r="M291" s="1" t="s">
        <v>31</v>
      </c>
      <c r="N291">
        <v>66416</v>
      </c>
      <c r="O291">
        <v>4761904762</v>
      </c>
      <c r="P291">
        <v>33208</v>
      </c>
      <c r="Q291">
        <v>42</v>
      </c>
    </row>
    <row r="292" spans="1:17" x14ac:dyDescent="0.25">
      <c r="A292" s="1" t="s">
        <v>413</v>
      </c>
      <c r="B292" s="1" t="s">
        <v>51</v>
      </c>
      <c r="C292" s="1" t="s">
        <v>52</v>
      </c>
      <c r="D292" s="1" t="s">
        <v>20</v>
      </c>
      <c r="E292" s="1" t="s">
        <v>33</v>
      </c>
      <c r="F292" s="1" t="s">
        <v>29</v>
      </c>
      <c r="G292">
        <v>403</v>
      </c>
      <c r="H292">
        <v>10</v>
      </c>
      <c r="I292">
        <v>2015</v>
      </c>
      <c r="J292">
        <v>42315</v>
      </c>
      <c r="K292" s="1" t="s">
        <v>151</v>
      </c>
      <c r="L292" s="2">
        <v>0.73402777777777772</v>
      </c>
      <c r="M292" s="1" t="s">
        <v>36</v>
      </c>
      <c r="N292">
        <v>403</v>
      </c>
      <c r="O292">
        <v>4761904762</v>
      </c>
      <c r="P292">
        <v>2015</v>
      </c>
      <c r="Q292">
        <v>7</v>
      </c>
    </row>
    <row r="293" spans="1:17" x14ac:dyDescent="0.25">
      <c r="A293" s="1" t="s">
        <v>414</v>
      </c>
      <c r="B293" s="1" t="s">
        <v>26</v>
      </c>
      <c r="C293" s="1" t="s">
        <v>27</v>
      </c>
      <c r="D293" s="1" t="s">
        <v>28</v>
      </c>
      <c r="E293" s="1" t="s">
        <v>33</v>
      </c>
      <c r="F293" s="1" t="s">
        <v>29</v>
      </c>
      <c r="G293">
        <v>2785</v>
      </c>
      <c r="H293">
        <v>7</v>
      </c>
      <c r="I293">
        <v>97475</v>
      </c>
      <c r="J293">
        <v>2046975</v>
      </c>
      <c r="K293" s="1" t="s">
        <v>389</v>
      </c>
      <c r="L293" s="2">
        <v>0.72222222222222221</v>
      </c>
      <c r="M293" s="1" t="s">
        <v>24</v>
      </c>
      <c r="N293">
        <v>19495</v>
      </c>
      <c r="O293">
        <v>4761904762</v>
      </c>
      <c r="P293">
        <v>97475</v>
      </c>
      <c r="Q293">
        <v>6</v>
      </c>
    </row>
    <row r="294" spans="1:17" x14ac:dyDescent="0.25">
      <c r="A294" s="1" t="s">
        <v>415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29</v>
      </c>
      <c r="G294">
        <v>6248</v>
      </c>
      <c r="H294">
        <v>1</v>
      </c>
      <c r="I294">
        <v>3124</v>
      </c>
      <c r="J294">
        <v>65604</v>
      </c>
      <c r="K294" s="1" t="s">
        <v>239</v>
      </c>
      <c r="L294" s="2">
        <v>0.85347222222222219</v>
      </c>
      <c r="M294" s="1" t="s">
        <v>31</v>
      </c>
      <c r="N294">
        <v>6248</v>
      </c>
      <c r="O294">
        <v>4761904762</v>
      </c>
      <c r="P294">
        <v>3124</v>
      </c>
      <c r="Q294">
        <v>47</v>
      </c>
    </row>
    <row r="295" spans="1:17" x14ac:dyDescent="0.25">
      <c r="A295" s="1" t="s">
        <v>416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53</v>
      </c>
      <c r="G295">
        <v>3636</v>
      </c>
      <c r="H295">
        <v>2</v>
      </c>
      <c r="I295">
        <v>3636</v>
      </c>
      <c r="J295">
        <v>76356</v>
      </c>
      <c r="K295" s="1" t="s">
        <v>73</v>
      </c>
      <c r="L295" s="2">
        <v>0.41666666666666669</v>
      </c>
      <c r="M295" s="1" t="s">
        <v>31</v>
      </c>
      <c r="N295">
        <v>7272</v>
      </c>
      <c r="O295">
        <v>4761904762</v>
      </c>
      <c r="P295">
        <v>3636</v>
      </c>
      <c r="Q295">
        <v>71</v>
      </c>
    </row>
    <row r="296" spans="1:17" x14ac:dyDescent="0.25">
      <c r="A296" s="1" t="s">
        <v>417</v>
      </c>
      <c r="B296" s="1" t="s">
        <v>51</v>
      </c>
      <c r="C296" s="1" t="s">
        <v>52</v>
      </c>
      <c r="D296" s="1" t="s">
        <v>28</v>
      </c>
      <c r="E296" s="1" t="s">
        <v>33</v>
      </c>
      <c r="F296" s="1" t="s">
        <v>22</v>
      </c>
      <c r="G296">
        <v>1811</v>
      </c>
      <c r="H296">
        <v>10</v>
      </c>
      <c r="I296">
        <v>9055</v>
      </c>
      <c r="J296">
        <v>190155</v>
      </c>
      <c r="K296" s="1" t="s">
        <v>147</v>
      </c>
      <c r="L296" s="2">
        <v>0.49027777777777776</v>
      </c>
      <c r="M296" s="1" t="s">
        <v>24</v>
      </c>
      <c r="N296">
        <v>1811</v>
      </c>
      <c r="O296">
        <v>4761904762</v>
      </c>
      <c r="P296">
        <v>9055</v>
      </c>
      <c r="Q296">
        <v>59</v>
      </c>
    </row>
    <row r="297" spans="1:17" x14ac:dyDescent="0.25">
      <c r="A297" s="1" t="s">
        <v>418</v>
      </c>
      <c r="B297" s="1" t="s">
        <v>26</v>
      </c>
      <c r="C297" s="1" t="s">
        <v>27</v>
      </c>
      <c r="D297" s="1" t="s">
        <v>20</v>
      </c>
      <c r="E297" s="1" t="s">
        <v>21</v>
      </c>
      <c r="F297" s="1" t="s">
        <v>29</v>
      </c>
      <c r="G297">
        <v>5192</v>
      </c>
      <c r="H297">
        <v>5</v>
      </c>
      <c r="I297">
        <v>1298</v>
      </c>
      <c r="J297">
        <v>27258</v>
      </c>
      <c r="K297" s="1" t="s">
        <v>35</v>
      </c>
      <c r="L297" s="2">
        <v>0.5708333333333333</v>
      </c>
      <c r="M297" s="1" t="s">
        <v>31</v>
      </c>
      <c r="N297">
        <v>2596</v>
      </c>
      <c r="O297">
        <v>4761904762</v>
      </c>
      <c r="P297">
        <v>1298</v>
      </c>
      <c r="Q297">
        <v>75</v>
      </c>
    </row>
    <row r="298" spans="1:17" x14ac:dyDescent="0.25">
      <c r="A298" s="1" t="s">
        <v>419</v>
      </c>
      <c r="B298" s="1" t="s">
        <v>26</v>
      </c>
      <c r="C298" s="1" t="s">
        <v>27</v>
      </c>
      <c r="D298" s="1" t="s">
        <v>28</v>
      </c>
      <c r="E298" s="1" t="s">
        <v>33</v>
      </c>
      <c r="F298" s="1" t="s">
        <v>29</v>
      </c>
      <c r="G298">
        <v>2884</v>
      </c>
      <c r="H298">
        <v>4</v>
      </c>
      <c r="I298">
        <v>5768</v>
      </c>
      <c r="J298">
        <v>121128</v>
      </c>
      <c r="K298" s="1" t="s">
        <v>65</v>
      </c>
      <c r="L298" s="2">
        <v>0.61388888888888893</v>
      </c>
      <c r="M298" s="1" t="s">
        <v>31</v>
      </c>
      <c r="N298">
        <v>11536</v>
      </c>
      <c r="O298">
        <v>4761904762</v>
      </c>
      <c r="P298">
        <v>5768</v>
      </c>
      <c r="Q298">
        <v>64</v>
      </c>
    </row>
    <row r="299" spans="1:17" x14ac:dyDescent="0.25">
      <c r="A299" s="1" t="s">
        <v>420</v>
      </c>
      <c r="B299" s="1" t="s">
        <v>18</v>
      </c>
      <c r="C299" s="1" t="s">
        <v>19</v>
      </c>
      <c r="D299" s="1" t="s">
        <v>20</v>
      </c>
      <c r="E299" s="1" t="s">
        <v>33</v>
      </c>
      <c r="F299" s="1" t="s">
        <v>34</v>
      </c>
      <c r="G299">
        <v>7838</v>
      </c>
      <c r="H299">
        <v>6</v>
      </c>
      <c r="I299">
        <v>23514</v>
      </c>
      <c r="J299">
        <v>493794</v>
      </c>
      <c r="K299" s="1" t="s">
        <v>49</v>
      </c>
      <c r="L299" s="2">
        <v>0.59444444444444444</v>
      </c>
      <c r="M299" s="1" t="s">
        <v>24</v>
      </c>
      <c r="N299">
        <v>47028</v>
      </c>
      <c r="O299">
        <v>4761904762</v>
      </c>
      <c r="P299">
        <v>23514</v>
      </c>
      <c r="Q299">
        <v>58</v>
      </c>
    </row>
    <row r="300" spans="1:17" x14ac:dyDescent="0.25">
      <c r="A300" s="1" t="s">
        <v>421</v>
      </c>
      <c r="B300" s="1" t="s">
        <v>18</v>
      </c>
      <c r="C300" s="1" t="s">
        <v>19</v>
      </c>
      <c r="D300" s="1" t="s">
        <v>20</v>
      </c>
      <c r="E300" s="1" t="s">
        <v>33</v>
      </c>
      <c r="F300" s="1" t="s">
        <v>34</v>
      </c>
      <c r="G300">
        <v>6001</v>
      </c>
      <c r="H300">
        <v>4</v>
      </c>
      <c r="I300">
        <v>12002</v>
      </c>
      <c r="J300">
        <v>252042</v>
      </c>
      <c r="K300" s="1" t="s">
        <v>90</v>
      </c>
      <c r="L300" s="2">
        <v>0.66249999999999998</v>
      </c>
      <c r="M300" s="1" t="s">
        <v>31</v>
      </c>
      <c r="N300">
        <v>24004</v>
      </c>
      <c r="O300">
        <v>4761904762</v>
      </c>
      <c r="P300">
        <v>12002</v>
      </c>
      <c r="Q300">
        <v>45</v>
      </c>
    </row>
    <row r="301" spans="1:17" x14ac:dyDescent="0.25">
      <c r="A301" s="1" t="s">
        <v>422</v>
      </c>
      <c r="B301" s="1" t="s">
        <v>26</v>
      </c>
      <c r="C301" s="1" t="s">
        <v>27</v>
      </c>
      <c r="D301" s="1" t="s">
        <v>20</v>
      </c>
      <c r="E301" s="1" t="s">
        <v>21</v>
      </c>
      <c r="F301" s="1" t="s">
        <v>34</v>
      </c>
      <c r="G301">
        <v>8861</v>
      </c>
      <c r="H301">
        <v>1</v>
      </c>
      <c r="I301">
        <v>44305</v>
      </c>
      <c r="J301">
        <v>930405</v>
      </c>
      <c r="K301" s="1" t="s">
        <v>214</v>
      </c>
      <c r="L301" s="2">
        <v>0.43125000000000002</v>
      </c>
      <c r="M301" s="1" t="s">
        <v>31</v>
      </c>
      <c r="N301">
        <v>8861</v>
      </c>
      <c r="O301">
        <v>4761904762</v>
      </c>
      <c r="P301">
        <v>44305</v>
      </c>
      <c r="Q301">
        <v>77</v>
      </c>
    </row>
    <row r="302" spans="1:17" x14ac:dyDescent="0.25">
      <c r="A302" s="1" t="s">
        <v>423</v>
      </c>
      <c r="B302" s="1" t="s">
        <v>26</v>
      </c>
      <c r="C302" s="1" t="s">
        <v>27</v>
      </c>
      <c r="D302" s="1" t="s">
        <v>28</v>
      </c>
      <c r="E302" s="1" t="s">
        <v>33</v>
      </c>
      <c r="F302" s="1" t="s">
        <v>56</v>
      </c>
      <c r="G302">
        <v>9982</v>
      </c>
      <c r="H302">
        <v>2</v>
      </c>
      <c r="I302">
        <v>9982</v>
      </c>
      <c r="J302">
        <v>209622</v>
      </c>
      <c r="K302" s="1" t="s">
        <v>181</v>
      </c>
      <c r="L302" s="2">
        <v>0.75624999999999998</v>
      </c>
      <c r="M302" s="1" t="s">
        <v>36</v>
      </c>
      <c r="N302">
        <v>19964</v>
      </c>
      <c r="O302">
        <v>4761904762</v>
      </c>
      <c r="P302">
        <v>9982</v>
      </c>
      <c r="Q302">
        <v>67</v>
      </c>
    </row>
    <row r="303" spans="1:17" x14ac:dyDescent="0.25">
      <c r="A303" s="1" t="s">
        <v>424</v>
      </c>
      <c r="B303" s="1" t="s">
        <v>51</v>
      </c>
      <c r="C303" s="1" t="s">
        <v>52</v>
      </c>
      <c r="D303" s="1" t="s">
        <v>20</v>
      </c>
      <c r="E303" s="1" t="s">
        <v>33</v>
      </c>
      <c r="F303" s="1" t="s">
        <v>22</v>
      </c>
      <c r="G303">
        <v>3901</v>
      </c>
      <c r="H303">
        <v>1</v>
      </c>
      <c r="I303">
        <v>19505</v>
      </c>
      <c r="J303">
        <v>409605</v>
      </c>
      <c r="K303" s="1" t="s">
        <v>137</v>
      </c>
      <c r="L303" s="2">
        <v>0.69861111111111107</v>
      </c>
      <c r="M303" s="1" t="s">
        <v>36</v>
      </c>
      <c r="N303">
        <v>3901</v>
      </c>
      <c r="O303">
        <v>4761904762</v>
      </c>
      <c r="P303">
        <v>19505</v>
      </c>
      <c r="Q303">
        <v>47</v>
      </c>
    </row>
    <row r="304" spans="1:17" x14ac:dyDescent="0.25">
      <c r="A304" s="1" t="s">
        <v>425</v>
      </c>
      <c r="B304" s="1" t="s">
        <v>26</v>
      </c>
      <c r="C304" s="1" t="s">
        <v>27</v>
      </c>
      <c r="D304" s="1" t="s">
        <v>28</v>
      </c>
      <c r="E304" s="1" t="s">
        <v>33</v>
      </c>
      <c r="F304" s="1" t="s">
        <v>53</v>
      </c>
      <c r="G304">
        <v>4861</v>
      </c>
      <c r="H304">
        <v>1</v>
      </c>
      <c r="I304">
        <v>24305</v>
      </c>
      <c r="J304">
        <v>510405</v>
      </c>
      <c r="K304" s="1" t="s">
        <v>45</v>
      </c>
      <c r="L304" s="2">
        <v>0.64652777777777781</v>
      </c>
      <c r="M304" s="1" t="s">
        <v>31</v>
      </c>
      <c r="N304">
        <v>4861</v>
      </c>
      <c r="O304">
        <v>4761904762</v>
      </c>
      <c r="P304">
        <v>24305</v>
      </c>
      <c r="Q304">
        <v>44</v>
      </c>
    </row>
    <row r="305" spans="1:17" x14ac:dyDescent="0.25">
      <c r="A305" s="1" t="s">
        <v>426</v>
      </c>
      <c r="B305" s="1" t="s">
        <v>18</v>
      </c>
      <c r="C305" s="1" t="s">
        <v>19</v>
      </c>
      <c r="D305" s="1" t="s">
        <v>28</v>
      </c>
      <c r="E305" s="1" t="s">
        <v>21</v>
      </c>
      <c r="F305" s="1" t="s">
        <v>29</v>
      </c>
      <c r="G305">
        <v>5119</v>
      </c>
      <c r="H305">
        <v>4</v>
      </c>
      <c r="I305">
        <v>10238</v>
      </c>
      <c r="J305">
        <v>214998</v>
      </c>
      <c r="K305" s="1" t="s">
        <v>323</v>
      </c>
      <c r="L305" s="2">
        <v>0.71875</v>
      </c>
      <c r="M305" s="1" t="s">
        <v>36</v>
      </c>
      <c r="N305">
        <v>20476</v>
      </c>
      <c r="O305">
        <v>4761904762</v>
      </c>
      <c r="P305">
        <v>10238</v>
      </c>
      <c r="Q305">
        <v>47</v>
      </c>
    </row>
    <row r="306" spans="1:17" x14ac:dyDescent="0.25">
      <c r="A306" s="1" t="s">
        <v>427</v>
      </c>
      <c r="B306" s="1" t="s">
        <v>51</v>
      </c>
      <c r="C306" s="1" t="s">
        <v>52</v>
      </c>
      <c r="D306" s="1" t="s">
        <v>28</v>
      </c>
      <c r="E306" s="1" t="s">
        <v>21</v>
      </c>
      <c r="F306" s="1" t="s">
        <v>29</v>
      </c>
      <c r="G306">
        <v>1496</v>
      </c>
      <c r="H306">
        <v>8</v>
      </c>
      <c r="I306">
        <v>5984</v>
      </c>
      <c r="J306">
        <v>125664</v>
      </c>
      <c r="K306" s="1" t="s">
        <v>175</v>
      </c>
      <c r="L306" s="2">
        <v>0.52013888888888893</v>
      </c>
      <c r="M306" s="1" t="s">
        <v>31</v>
      </c>
      <c r="N306">
        <v>11968</v>
      </c>
      <c r="O306">
        <v>4761904762</v>
      </c>
      <c r="P306">
        <v>5984</v>
      </c>
      <c r="Q306">
        <v>86</v>
      </c>
    </row>
    <row r="307" spans="1:17" x14ac:dyDescent="0.25">
      <c r="A307" s="1" t="s">
        <v>428</v>
      </c>
      <c r="B307" s="1" t="s">
        <v>18</v>
      </c>
      <c r="C307" s="1" t="s">
        <v>19</v>
      </c>
      <c r="D307" s="1" t="s">
        <v>20</v>
      </c>
      <c r="E307" s="1" t="s">
        <v>33</v>
      </c>
      <c r="F307" s="1" t="s">
        <v>29</v>
      </c>
      <c r="G307">
        <v>722</v>
      </c>
      <c r="H307">
        <v>7</v>
      </c>
      <c r="I307">
        <v>2527</v>
      </c>
      <c r="J307">
        <v>53067</v>
      </c>
      <c r="K307" s="1" t="s">
        <v>195</v>
      </c>
      <c r="L307" s="2">
        <v>0.84305555555555556</v>
      </c>
      <c r="M307" s="1" t="s">
        <v>24</v>
      </c>
      <c r="N307">
        <v>5054</v>
      </c>
      <c r="O307">
        <v>4761904762</v>
      </c>
      <c r="P307">
        <v>2527</v>
      </c>
      <c r="Q307">
        <v>43</v>
      </c>
    </row>
    <row r="308" spans="1:17" x14ac:dyDescent="0.25">
      <c r="A308" s="1" t="s">
        <v>429</v>
      </c>
      <c r="B308" s="1" t="s">
        <v>18</v>
      </c>
      <c r="C308" s="1" t="s">
        <v>19</v>
      </c>
      <c r="D308" s="1" t="s">
        <v>28</v>
      </c>
      <c r="E308" s="1" t="s">
        <v>21</v>
      </c>
      <c r="F308" s="1" t="s">
        <v>40</v>
      </c>
      <c r="G308">
        <v>4023</v>
      </c>
      <c r="H308">
        <v>7</v>
      </c>
      <c r="I308">
        <v>140805</v>
      </c>
      <c r="J308">
        <v>2956905</v>
      </c>
      <c r="K308" s="1" t="s">
        <v>268</v>
      </c>
      <c r="L308" s="2">
        <v>0.55694444444444446</v>
      </c>
      <c r="M308" s="1" t="s">
        <v>31</v>
      </c>
      <c r="N308">
        <v>28161</v>
      </c>
      <c r="O308">
        <v>4761904762</v>
      </c>
      <c r="P308">
        <v>140805</v>
      </c>
      <c r="Q308">
        <v>96</v>
      </c>
    </row>
    <row r="309" spans="1:17" x14ac:dyDescent="0.25">
      <c r="A309" s="1" t="s">
        <v>430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34</v>
      </c>
      <c r="G309">
        <v>8879</v>
      </c>
      <c r="H309">
        <v>8</v>
      </c>
      <c r="I309">
        <v>35516</v>
      </c>
      <c r="J309">
        <v>745836</v>
      </c>
      <c r="K309" s="1" t="s">
        <v>81</v>
      </c>
      <c r="L309" s="2">
        <v>0.71458333333333335</v>
      </c>
      <c r="M309" s="1" t="s">
        <v>31</v>
      </c>
      <c r="N309">
        <v>71032</v>
      </c>
      <c r="O309">
        <v>4761904762</v>
      </c>
      <c r="P309">
        <v>35516</v>
      </c>
      <c r="Q309">
        <v>41</v>
      </c>
    </row>
    <row r="310" spans="1:17" x14ac:dyDescent="0.25">
      <c r="A310" s="1" t="s">
        <v>431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29</v>
      </c>
      <c r="G310">
        <v>2648</v>
      </c>
      <c r="H310">
        <v>3</v>
      </c>
      <c r="I310">
        <v>3972</v>
      </c>
      <c r="J310">
        <v>83412</v>
      </c>
      <c r="K310" s="1" t="s">
        <v>288</v>
      </c>
      <c r="L310" s="2">
        <v>0.44444444444444442</v>
      </c>
      <c r="M310" s="1" t="s">
        <v>24</v>
      </c>
      <c r="N310">
        <v>7944</v>
      </c>
      <c r="O310">
        <v>4761904762</v>
      </c>
      <c r="P310">
        <v>3972</v>
      </c>
      <c r="Q310">
        <v>47</v>
      </c>
    </row>
    <row r="311" spans="1:17" x14ac:dyDescent="0.25">
      <c r="A311" s="1" t="s">
        <v>432</v>
      </c>
      <c r="B311" s="1" t="s">
        <v>18</v>
      </c>
      <c r="C311" s="1" t="s">
        <v>19</v>
      </c>
      <c r="D311" s="1" t="s">
        <v>28</v>
      </c>
      <c r="E311" s="1" t="s">
        <v>21</v>
      </c>
      <c r="F311" s="1" t="s">
        <v>56</v>
      </c>
      <c r="G311">
        <v>8191</v>
      </c>
      <c r="H311">
        <v>2</v>
      </c>
      <c r="I311">
        <v>8191</v>
      </c>
      <c r="J311">
        <v>172011</v>
      </c>
      <c r="K311" s="1" t="s">
        <v>77</v>
      </c>
      <c r="L311" s="2">
        <v>0.73819444444444449</v>
      </c>
      <c r="M311" s="1" t="s">
        <v>31</v>
      </c>
      <c r="N311">
        <v>16382</v>
      </c>
      <c r="O311">
        <v>4761904762</v>
      </c>
      <c r="P311">
        <v>8191</v>
      </c>
      <c r="Q311">
        <v>78</v>
      </c>
    </row>
    <row r="312" spans="1:17" x14ac:dyDescent="0.25">
      <c r="A312" s="1" t="s">
        <v>433</v>
      </c>
      <c r="B312" s="1" t="s">
        <v>51</v>
      </c>
      <c r="C312" s="1" t="s">
        <v>52</v>
      </c>
      <c r="D312" s="1" t="s">
        <v>20</v>
      </c>
      <c r="E312" s="1" t="s">
        <v>33</v>
      </c>
      <c r="F312" s="1" t="s">
        <v>40</v>
      </c>
      <c r="G312">
        <v>7993</v>
      </c>
      <c r="H312">
        <v>6</v>
      </c>
      <c r="I312">
        <v>23979</v>
      </c>
      <c r="J312">
        <v>503559</v>
      </c>
      <c r="K312" s="1" t="s">
        <v>339</v>
      </c>
      <c r="L312" s="2">
        <v>0.58611111111111114</v>
      </c>
      <c r="M312" s="1" t="s">
        <v>31</v>
      </c>
      <c r="N312">
        <v>47958</v>
      </c>
      <c r="O312">
        <v>4761904762</v>
      </c>
      <c r="P312">
        <v>23979</v>
      </c>
      <c r="Q312">
        <v>55</v>
      </c>
    </row>
    <row r="313" spans="1:17" x14ac:dyDescent="0.25">
      <c r="A313" s="1" t="s">
        <v>434</v>
      </c>
      <c r="B313" s="1" t="s">
        <v>26</v>
      </c>
      <c r="C313" s="1" t="s">
        <v>27</v>
      </c>
      <c r="D313" s="1" t="s">
        <v>20</v>
      </c>
      <c r="E313" s="1" t="s">
        <v>33</v>
      </c>
      <c r="F313" s="1" t="s">
        <v>56</v>
      </c>
      <c r="G313">
        <v>6933</v>
      </c>
      <c r="H313">
        <v>2</v>
      </c>
      <c r="I313">
        <v>6933</v>
      </c>
      <c r="J313">
        <v>145593</v>
      </c>
      <c r="K313" s="1" t="s">
        <v>210</v>
      </c>
      <c r="L313" s="2">
        <v>0.79513888888888884</v>
      </c>
      <c r="M313" s="1" t="s">
        <v>24</v>
      </c>
      <c r="N313">
        <v>13866</v>
      </c>
      <c r="O313">
        <v>4761904762</v>
      </c>
      <c r="P313">
        <v>6933</v>
      </c>
      <c r="Q313">
        <v>97</v>
      </c>
    </row>
    <row r="314" spans="1:17" x14ac:dyDescent="0.25">
      <c r="A314" s="1" t="s">
        <v>435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53</v>
      </c>
      <c r="G314">
        <v>1423</v>
      </c>
      <c r="H314">
        <v>5</v>
      </c>
      <c r="I314">
        <v>35575</v>
      </c>
      <c r="J314">
        <v>747075</v>
      </c>
      <c r="K314" s="1" t="s">
        <v>199</v>
      </c>
      <c r="L314" s="2">
        <v>0.42222222222222222</v>
      </c>
      <c r="M314" s="1" t="s">
        <v>36</v>
      </c>
      <c r="N314">
        <v>7115</v>
      </c>
      <c r="O314">
        <v>4761904762</v>
      </c>
      <c r="P314">
        <v>35575</v>
      </c>
      <c r="Q314">
        <v>44</v>
      </c>
    </row>
    <row r="315" spans="1:17" x14ac:dyDescent="0.25">
      <c r="A315" s="1" t="s">
        <v>436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>
        <v>1555</v>
      </c>
      <c r="H315">
        <v>9</v>
      </c>
      <c r="I315">
        <v>69975</v>
      </c>
      <c r="J315">
        <v>1469475</v>
      </c>
      <c r="K315" s="1" t="s">
        <v>128</v>
      </c>
      <c r="L315" s="2">
        <v>0.55000000000000004</v>
      </c>
      <c r="M315" s="1" t="s">
        <v>31</v>
      </c>
      <c r="N315">
        <v>13995</v>
      </c>
      <c r="O315">
        <v>4761904762</v>
      </c>
      <c r="P315">
        <v>69975</v>
      </c>
      <c r="Q315">
        <v>5</v>
      </c>
    </row>
    <row r="316" spans="1:17" x14ac:dyDescent="0.25">
      <c r="A316" s="1" t="s">
        <v>437</v>
      </c>
      <c r="B316" s="1" t="s">
        <v>26</v>
      </c>
      <c r="C316" s="1" t="s">
        <v>27</v>
      </c>
      <c r="D316" s="1" t="s">
        <v>20</v>
      </c>
      <c r="E316" s="1" t="s">
        <v>21</v>
      </c>
      <c r="F316" s="1" t="s">
        <v>29</v>
      </c>
      <c r="G316">
        <v>7813</v>
      </c>
      <c r="H316">
        <v>10</v>
      </c>
      <c r="I316">
        <v>39065</v>
      </c>
      <c r="J316">
        <v>820365</v>
      </c>
      <c r="K316" s="1" t="s">
        <v>119</v>
      </c>
      <c r="L316" s="2">
        <v>0.86875000000000002</v>
      </c>
      <c r="M316" s="1" t="s">
        <v>31</v>
      </c>
      <c r="N316">
        <v>7813</v>
      </c>
      <c r="O316">
        <v>4761904762</v>
      </c>
      <c r="P316">
        <v>39065</v>
      </c>
      <c r="Q316">
        <v>44</v>
      </c>
    </row>
    <row r="317" spans="1:17" x14ac:dyDescent="0.25">
      <c r="A317" s="1" t="s">
        <v>438</v>
      </c>
      <c r="B317" s="1" t="s">
        <v>26</v>
      </c>
      <c r="C317" s="1" t="s">
        <v>27</v>
      </c>
      <c r="D317" s="1" t="s">
        <v>20</v>
      </c>
      <c r="E317" s="1" t="s">
        <v>33</v>
      </c>
      <c r="F317" s="1" t="s">
        <v>53</v>
      </c>
      <c r="G317">
        <v>9937</v>
      </c>
      <c r="H317">
        <v>2</v>
      </c>
      <c r="I317">
        <v>9937</v>
      </c>
      <c r="J317">
        <v>208677</v>
      </c>
      <c r="K317" s="1" t="s">
        <v>145</v>
      </c>
      <c r="L317" s="2">
        <v>0.72847222222222219</v>
      </c>
      <c r="M317" s="1" t="s">
        <v>31</v>
      </c>
      <c r="N317">
        <v>19874</v>
      </c>
      <c r="O317">
        <v>4761904762</v>
      </c>
      <c r="P317">
        <v>9937</v>
      </c>
      <c r="Q317">
        <v>52</v>
      </c>
    </row>
    <row r="318" spans="1:17" x14ac:dyDescent="0.25">
      <c r="A318" s="1" t="s">
        <v>439</v>
      </c>
      <c r="B318" s="1" t="s">
        <v>26</v>
      </c>
      <c r="C318" s="1" t="s">
        <v>27</v>
      </c>
      <c r="D318" s="1" t="s">
        <v>20</v>
      </c>
      <c r="E318" s="1" t="s">
        <v>21</v>
      </c>
      <c r="F318" s="1" t="s">
        <v>53</v>
      </c>
      <c r="G318">
        <v>2108</v>
      </c>
      <c r="H318">
        <v>3</v>
      </c>
      <c r="I318">
        <v>3162</v>
      </c>
      <c r="J318">
        <v>66402</v>
      </c>
      <c r="K318" s="1" t="s">
        <v>191</v>
      </c>
      <c r="L318" s="2">
        <v>0.43402777777777779</v>
      </c>
      <c r="M318" s="1" t="s">
        <v>31</v>
      </c>
      <c r="N318">
        <v>6324</v>
      </c>
      <c r="O318">
        <v>4761904762</v>
      </c>
      <c r="P318">
        <v>3162</v>
      </c>
      <c r="Q318">
        <v>73</v>
      </c>
    </row>
    <row r="319" spans="1:17" x14ac:dyDescent="0.25">
      <c r="A319" s="1" t="s">
        <v>440</v>
      </c>
      <c r="B319" s="1" t="s">
        <v>26</v>
      </c>
      <c r="C319" s="1" t="s">
        <v>27</v>
      </c>
      <c r="D319" s="1" t="s">
        <v>20</v>
      </c>
      <c r="E319" s="1" t="s">
        <v>33</v>
      </c>
      <c r="F319" s="1" t="s">
        <v>29</v>
      </c>
      <c r="G319">
        <v>7479</v>
      </c>
      <c r="H319">
        <v>5</v>
      </c>
      <c r="I319">
        <v>186975</v>
      </c>
      <c r="J319">
        <v>3926475</v>
      </c>
      <c r="K319" s="1" t="s">
        <v>49</v>
      </c>
      <c r="L319" s="2">
        <v>0.48194444444444445</v>
      </c>
      <c r="M319" s="1" t="s">
        <v>31</v>
      </c>
      <c r="N319">
        <v>37395</v>
      </c>
      <c r="O319">
        <v>4761904762</v>
      </c>
      <c r="P319">
        <v>186975</v>
      </c>
      <c r="Q319">
        <v>49</v>
      </c>
    </row>
    <row r="320" spans="1:17" x14ac:dyDescent="0.25">
      <c r="A320" s="1" t="s">
        <v>441</v>
      </c>
      <c r="B320" s="1" t="s">
        <v>26</v>
      </c>
      <c r="C320" s="1" t="s">
        <v>27</v>
      </c>
      <c r="D320" s="1" t="s">
        <v>20</v>
      </c>
      <c r="E320" s="1" t="s">
        <v>21</v>
      </c>
      <c r="F320" s="1" t="s">
        <v>22</v>
      </c>
      <c r="G320">
        <v>2967</v>
      </c>
      <c r="H320">
        <v>7</v>
      </c>
      <c r="I320">
        <v>103845</v>
      </c>
      <c r="J320">
        <v>2180745</v>
      </c>
      <c r="K320" s="1" t="s">
        <v>69</v>
      </c>
      <c r="L320" s="2">
        <v>0.79027777777777775</v>
      </c>
      <c r="M320" s="1" t="s">
        <v>36</v>
      </c>
      <c r="N320">
        <v>20769</v>
      </c>
      <c r="O320">
        <v>4761904762</v>
      </c>
      <c r="P320">
        <v>103845</v>
      </c>
      <c r="Q320">
        <v>81</v>
      </c>
    </row>
    <row r="321" spans="1:17" x14ac:dyDescent="0.25">
      <c r="A321" s="1" t="s">
        <v>442</v>
      </c>
      <c r="B321" s="1" t="s">
        <v>26</v>
      </c>
      <c r="C321" s="1" t="s">
        <v>27</v>
      </c>
      <c r="D321" s="1" t="s">
        <v>20</v>
      </c>
      <c r="E321" s="1" t="s">
        <v>33</v>
      </c>
      <c r="F321" s="1" t="s">
        <v>22</v>
      </c>
      <c r="G321">
        <v>4407</v>
      </c>
      <c r="H321">
        <v>4</v>
      </c>
      <c r="I321">
        <v>8814</v>
      </c>
      <c r="J321">
        <v>185094</v>
      </c>
      <c r="K321" s="1" t="s">
        <v>239</v>
      </c>
      <c r="L321" s="2">
        <v>0.68611111111111112</v>
      </c>
      <c r="M321" s="1" t="s">
        <v>24</v>
      </c>
      <c r="N321">
        <v>17628</v>
      </c>
      <c r="O321">
        <v>4761904762</v>
      </c>
      <c r="P321">
        <v>8814</v>
      </c>
      <c r="Q321">
        <v>84</v>
      </c>
    </row>
    <row r="322" spans="1:17" x14ac:dyDescent="0.25">
      <c r="A322" s="1" t="s">
        <v>443</v>
      </c>
      <c r="B322" s="1" t="s">
        <v>26</v>
      </c>
      <c r="C322" s="1" t="s">
        <v>27</v>
      </c>
      <c r="D322" s="1" t="s">
        <v>28</v>
      </c>
      <c r="E322" s="1" t="s">
        <v>21</v>
      </c>
      <c r="F322" s="1" t="s">
        <v>53</v>
      </c>
      <c r="G322">
        <v>2293</v>
      </c>
      <c r="H322">
        <v>9</v>
      </c>
      <c r="I322">
        <v>103185</v>
      </c>
      <c r="J322">
        <v>2166885</v>
      </c>
      <c r="K322" s="1" t="s">
        <v>349</v>
      </c>
      <c r="L322" s="2">
        <v>0.85138888888888886</v>
      </c>
      <c r="M322" s="1" t="s">
        <v>31</v>
      </c>
      <c r="N322">
        <v>20637</v>
      </c>
      <c r="O322">
        <v>4761904762</v>
      </c>
      <c r="P322">
        <v>103185</v>
      </c>
      <c r="Q322">
        <v>55</v>
      </c>
    </row>
    <row r="323" spans="1:17" x14ac:dyDescent="0.25">
      <c r="A323" s="1" t="s">
        <v>444</v>
      </c>
      <c r="B323" s="1" t="s">
        <v>26</v>
      </c>
      <c r="C323" s="1" t="s">
        <v>27</v>
      </c>
      <c r="D323" s="1" t="s">
        <v>28</v>
      </c>
      <c r="E323" s="1" t="s">
        <v>21</v>
      </c>
      <c r="F323" s="1" t="s">
        <v>22</v>
      </c>
      <c r="G323">
        <v>3942</v>
      </c>
      <c r="H323">
        <v>1</v>
      </c>
      <c r="I323">
        <v>1971</v>
      </c>
      <c r="J323">
        <v>41391</v>
      </c>
      <c r="K323" s="1" t="s">
        <v>241</v>
      </c>
      <c r="L323" s="2">
        <v>0.63055555555555554</v>
      </c>
      <c r="M323" s="1" t="s">
        <v>31</v>
      </c>
      <c r="N323">
        <v>3942</v>
      </c>
      <c r="O323">
        <v>4761904762</v>
      </c>
      <c r="P323">
        <v>1971</v>
      </c>
      <c r="Q323">
        <v>84</v>
      </c>
    </row>
    <row r="324" spans="1:17" x14ac:dyDescent="0.25">
      <c r="A324" s="1" t="s">
        <v>445</v>
      </c>
      <c r="B324" s="1" t="s">
        <v>18</v>
      </c>
      <c r="C324" s="1" t="s">
        <v>19</v>
      </c>
      <c r="D324" s="1" t="s">
        <v>28</v>
      </c>
      <c r="E324" s="1" t="s">
        <v>33</v>
      </c>
      <c r="F324" s="1" t="s">
        <v>22</v>
      </c>
      <c r="G324">
        <v>1526</v>
      </c>
      <c r="H324">
        <v>6</v>
      </c>
      <c r="I324">
        <v>4578</v>
      </c>
      <c r="J324">
        <v>96138</v>
      </c>
      <c r="K324" s="1" t="s">
        <v>139</v>
      </c>
      <c r="L324" s="2">
        <v>0.75208333333333333</v>
      </c>
      <c r="M324" s="1" t="s">
        <v>24</v>
      </c>
      <c r="N324">
        <v>9156</v>
      </c>
      <c r="O324">
        <v>4761904762</v>
      </c>
      <c r="P324">
        <v>4578</v>
      </c>
      <c r="Q324">
        <v>98</v>
      </c>
    </row>
    <row r="325" spans="1:17" x14ac:dyDescent="0.25">
      <c r="A325" s="1" t="s">
        <v>446</v>
      </c>
      <c r="B325" s="1" t="s">
        <v>18</v>
      </c>
      <c r="C325" s="1" t="s">
        <v>19</v>
      </c>
      <c r="D325" s="1" t="s">
        <v>28</v>
      </c>
      <c r="E325" s="1" t="s">
        <v>21</v>
      </c>
      <c r="F325" s="1" t="s">
        <v>56</v>
      </c>
      <c r="G325">
        <v>6177</v>
      </c>
      <c r="H325">
        <v>5</v>
      </c>
      <c r="I325">
        <v>154425</v>
      </c>
      <c r="J325">
        <v>3242925</v>
      </c>
      <c r="K325" s="1" t="s">
        <v>30</v>
      </c>
      <c r="L325" s="2">
        <v>0.55625000000000002</v>
      </c>
      <c r="M325" s="1" t="s">
        <v>31</v>
      </c>
      <c r="N325">
        <v>30885</v>
      </c>
      <c r="O325">
        <v>4761904762</v>
      </c>
      <c r="P325">
        <v>154425</v>
      </c>
      <c r="Q325">
        <v>67</v>
      </c>
    </row>
    <row r="326" spans="1:17" x14ac:dyDescent="0.25">
      <c r="A326" s="1" t="s">
        <v>447</v>
      </c>
      <c r="B326" s="1" t="s">
        <v>18</v>
      </c>
      <c r="C326" s="1" t="s">
        <v>19</v>
      </c>
      <c r="D326" s="1" t="s">
        <v>28</v>
      </c>
      <c r="E326" s="1" t="s">
        <v>33</v>
      </c>
      <c r="F326" s="1" t="s">
        <v>34</v>
      </c>
      <c r="G326">
        <v>2152</v>
      </c>
      <c r="H326">
        <v>6</v>
      </c>
      <c r="I326">
        <v>6456</v>
      </c>
      <c r="J326">
        <v>135576</v>
      </c>
      <c r="K326" s="1" t="s">
        <v>106</v>
      </c>
      <c r="L326" s="2">
        <v>0.53333333333333333</v>
      </c>
      <c r="M326" s="1" t="s">
        <v>36</v>
      </c>
      <c r="N326">
        <v>12912</v>
      </c>
      <c r="O326">
        <v>4761904762</v>
      </c>
      <c r="P326">
        <v>6456</v>
      </c>
      <c r="Q326">
        <v>94</v>
      </c>
    </row>
    <row r="327" spans="1:17" x14ac:dyDescent="0.25">
      <c r="A327" s="1" t="s">
        <v>448</v>
      </c>
      <c r="B327" s="1" t="s">
        <v>51</v>
      </c>
      <c r="C327" s="1" t="s">
        <v>52</v>
      </c>
      <c r="D327" s="1" t="s">
        <v>28</v>
      </c>
      <c r="E327" s="1" t="s">
        <v>33</v>
      </c>
      <c r="F327" s="1" t="s">
        <v>40</v>
      </c>
      <c r="G327">
        <v>9774</v>
      </c>
      <c r="H327">
        <v>4</v>
      </c>
      <c r="I327">
        <v>19548</v>
      </c>
      <c r="J327">
        <v>410508</v>
      </c>
      <c r="K327" s="1" t="s">
        <v>137</v>
      </c>
      <c r="L327" s="2">
        <v>0.82847222222222228</v>
      </c>
      <c r="M327" s="1" t="s">
        <v>24</v>
      </c>
      <c r="N327">
        <v>39096</v>
      </c>
      <c r="O327">
        <v>4761904762</v>
      </c>
      <c r="P327">
        <v>19548</v>
      </c>
      <c r="Q327">
        <v>64</v>
      </c>
    </row>
    <row r="328" spans="1:17" x14ac:dyDescent="0.25">
      <c r="A328" s="1" t="s">
        <v>449</v>
      </c>
      <c r="B328" s="1" t="s">
        <v>18</v>
      </c>
      <c r="C328" s="1" t="s">
        <v>19</v>
      </c>
      <c r="D328" s="1" t="s">
        <v>20</v>
      </c>
      <c r="E328" s="1" t="s">
        <v>33</v>
      </c>
      <c r="F328" s="1" t="s">
        <v>53</v>
      </c>
      <c r="G328">
        <v>9978</v>
      </c>
      <c r="H328">
        <v>5</v>
      </c>
      <c r="I328">
        <v>24945</v>
      </c>
      <c r="J328">
        <v>523845</v>
      </c>
      <c r="K328" s="1" t="s">
        <v>59</v>
      </c>
      <c r="L328" s="2">
        <v>0.79791666666666672</v>
      </c>
      <c r="M328" s="1" t="s">
        <v>31</v>
      </c>
      <c r="N328">
        <v>4989</v>
      </c>
      <c r="O328">
        <v>4761904762</v>
      </c>
      <c r="P328">
        <v>24945</v>
      </c>
      <c r="Q328">
        <v>54</v>
      </c>
    </row>
    <row r="329" spans="1:17" x14ac:dyDescent="0.25">
      <c r="A329" s="1" t="s">
        <v>450</v>
      </c>
      <c r="B329" s="1" t="s">
        <v>26</v>
      </c>
      <c r="C329" s="1" t="s">
        <v>27</v>
      </c>
      <c r="D329" s="1" t="s">
        <v>20</v>
      </c>
      <c r="E329" s="1" t="s">
        <v>33</v>
      </c>
      <c r="F329" s="1" t="s">
        <v>53</v>
      </c>
      <c r="G329">
        <v>9426</v>
      </c>
      <c r="H329">
        <v>4</v>
      </c>
      <c r="I329">
        <v>18852</v>
      </c>
      <c r="J329">
        <v>395892</v>
      </c>
      <c r="K329" s="1" t="s">
        <v>137</v>
      </c>
      <c r="L329" s="2">
        <v>0.6875</v>
      </c>
      <c r="M329" s="1" t="s">
        <v>31</v>
      </c>
      <c r="N329">
        <v>37704</v>
      </c>
      <c r="O329">
        <v>4761904762</v>
      </c>
      <c r="P329">
        <v>18852</v>
      </c>
      <c r="Q329">
        <v>86</v>
      </c>
    </row>
    <row r="330" spans="1:17" x14ac:dyDescent="0.25">
      <c r="A330" s="1" t="s">
        <v>451</v>
      </c>
      <c r="B330" s="1" t="s">
        <v>51</v>
      </c>
      <c r="C330" s="1" t="s">
        <v>52</v>
      </c>
      <c r="D330" s="1" t="s">
        <v>20</v>
      </c>
      <c r="E330" s="1" t="s">
        <v>33</v>
      </c>
      <c r="F330" s="1" t="s">
        <v>22</v>
      </c>
      <c r="G330">
        <v>5113</v>
      </c>
      <c r="H330">
        <v>4</v>
      </c>
      <c r="I330">
        <v>10226</v>
      </c>
      <c r="J330">
        <v>214746</v>
      </c>
      <c r="K330" s="1" t="s">
        <v>90</v>
      </c>
      <c r="L330" s="2">
        <v>0.42430555555555555</v>
      </c>
      <c r="M330" s="1" t="s">
        <v>36</v>
      </c>
      <c r="N330">
        <v>20452</v>
      </c>
      <c r="O330">
        <v>4761904762</v>
      </c>
      <c r="P330">
        <v>10226</v>
      </c>
      <c r="Q330">
        <v>4</v>
      </c>
    </row>
    <row r="331" spans="1:17" x14ac:dyDescent="0.25">
      <c r="A331" s="1" t="s">
        <v>452</v>
      </c>
      <c r="B331" s="1" t="s">
        <v>18</v>
      </c>
      <c r="C331" s="1" t="s">
        <v>19</v>
      </c>
      <c r="D331" s="1" t="s">
        <v>20</v>
      </c>
      <c r="E331" s="1" t="s">
        <v>33</v>
      </c>
      <c r="F331" s="1" t="s">
        <v>29</v>
      </c>
      <c r="G331">
        <v>3636</v>
      </c>
      <c r="H331">
        <v>4</v>
      </c>
      <c r="I331">
        <v>7272</v>
      </c>
      <c r="J331">
        <v>152712</v>
      </c>
      <c r="K331" s="1" t="s">
        <v>43</v>
      </c>
      <c r="L331" s="2">
        <v>0.54652777777777772</v>
      </c>
      <c r="M331" s="1" t="s">
        <v>31</v>
      </c>
      <c r="N331">
        <v>14544</v>
      </c>
      <c r="O331">
        <v>4761904762</v>
      </c>
      <c r="P331">
        <v>7272</v>
      </c>
      <c r="Q331">
        <v>76</v>
      </c>
    </row>
    <row r="332" spans="1:17" x14ac:dyDescent="0.25">
      <c r="A332" s="1" t="s">
        <v>453</v>
      </c>
      <c r="B332" s="1" t="s">
        <v>51</v>
      </c>
      <c r="C332" s="1" t="s">
        <v>52</v>
      </c>
      <c r="D332" s="1" t="s">
        <v>28</v>
      </c>
      <c r="E332" s="1" t="s">
        <v>33</v>
      </c>
      <c r="F332" s="1" t="s">
        <v>34</v>
      </c>
      <c r="G332">
        <v>2202</v>
      </c>
      <c r="H332">
        <v>9</v>
      </c>
      <c r="I332">
        <v>9909</v>
      </c>
      <c r="J332">
        <v>208089</v>
      </c>
      <c r="K332" s="1" t="s">
        <v>63</v>
      </c>
      <c r="L332" s="2">
        <v>0.78333333333333333</v>
      </c>
      <c r="M332" s="1" t="s">
        <v>31</v>
      </c>
      <c r="N332">
        <v>19818</v>
      </c>
      <c r="O332">
        <v>4761904762</v>
      </c>
      <c r="P332">
        <v>9909</v>
      </c>
      <c r="Q332">
        <v>68</v>
      </c>
    </row>
    <row r="333" spans="1:17" x14ac:dyDescent="0.25">
      <c r="A333" s="1" t="s">
        <v>454</v>
      </c>
      <c r="B333" s="1" t="s">
        <v>18</v>
      </c>
      <c r="C333" s="1" t="s">
        <v>19</v>
      </c>
      <c r="D333" s="1" t="s">
        <v>28</v>
      </c>
      <c r="E333" s="1" t="s">
        <v>33</v>
      </c>
      <c r="F333" s="1" t="s">
        <v>53</v>
      </c>
      <c r="G333">
        <v>329</v>
      </c>
      <c r="H333">
        <v>3</v>
      </c>
      <c r="I333">
        <v>4935</v>
      </c>
      <c r="J333">
        <v>103635</v>
      </c>
      <c r="K333" s="1" t="s">
        <v>81</v>
      </c>
      <c r="L333" s="2">
        <v>0.7270833333333333</v>
      </c>
      <c r="M333" s="1" t="s">
        <v>36</v>
      </c>
      <c r="N333">
        <v>987</v>
      </c>
      <c r="O333">
        <v>4761904762</v>
      </c>
      <c r="P333">
        <v>4935</v>
      </c>
      <c r="Q333">
        <v>91</v>
      </c>
    </row>
    <row r="334" spans="1:17" x14ac:dyDescent="0.25">
      <c r="A334" s="1" t="s">
        <v>455</v>
      </c>
      <c r="B334" s="1" t="s">
        <v>18</v>
      </c>
      <c r="C334" s="1" t="s">
        <v>19</v>
      </c>
      <c r="D334" s="1" t="s">
        <v>28</v>
      </c>
      <c r="E334" s="1" t="s">
        <v>33</v>
      </c>
      <c r="F334" s="1" t="s">
        <v>56</v>
      </c>
      <c r="G334">
        <v>7702</v>
      </c>
      <c r="H334">
        <v>5</v>
      </c>
      <c r="I334">
        <v>19255</v>
      </c>
      <c r="J334">
        <v>404355</v>
      </c>
      <c r="K334" s="1" t="s">
        <v>123</v>
      </c>
      <c r="L334" s="2">
        <v>0.66597222222222219</v>
      </c>
      <c r="M334" s="1" t="s">
        <v>31</v>
      </c>
      <c r="N334">
        <v>3851</v>
      </c>
      <c r="O334">
        <v>4761904762</v>
      </c>
      <c r="P334">
        <v>19255</v>
      </c>
      <c r="Q334">
        <v>55</v>
      </c>
    </row>
    <row r="335" spans="1:17" x14ac:dyDescent="0.25">
      <c r="A335" s="1" t="s">
        <v>456</v>
      </c>
      <c r="B335" s="1" t="s">
        <v>18</v>
      </c>
      <c r="C335" s="1" t="s">
        <v>19</v>
      </c>
      <c r="D335" s="1" t="s">
        <v>20</v>
      </c>
      <c r="E335" s="1" t="s">
        <v>33</v>
      </c>
      <c r="F335" s="1" t="s">
        <v>53</v>
      </c>
      <c r="G335">
        <v>2348</v>
      </c>
      <c r="H335">
        <v>2</v>
      </c>
      <c r="I335">
        <v>2348</v>
      </c>
      <c r="J335">
        <v>49308</v>
      </c>
      <c r="K335" s="1" t="s">
        <v>389</v>
      </c>
      <c r="L335" s="2">
        <v>0.47291666666666665</v>
      </c>
      <c r="M335" s="1" t="s">
        <v>36</v>
      </c>
      <c r="N335">
        <v>4696</v>
      </c>
      <c r="O335">
        <v>4761904762</v>
      </c>
      <c r="P335">
        <v>2348</v>
      </c>
      <c r="Q335">
        <v>79</v>
      </c>
    </row>
    <row r="336" spans="1:17" x14ac:dyDescent="0.25">
      <c r="A336" s="1" t="s">
        <v>457</v>
      </c>
      <c r="B336" s="1" t="s">
        <v>26</v>
      </c>
      <c r="C336" s="1" t="s">
        <v>27</v>
      </c>
      <c r="D336" s="1" t="s">
        <v>20</v>
      </c>
      <c r="E336" s="1" t="s">
        <v>33</v>
      </c>
      <c r="F336" s="1" t="s">
        <v>40</v>
      </c>
      <c r="G336">
        <v>147</v>
      </c>
      <c r="H336">
        <v>5</v>
      </c>
      <c r="I336">
        <v>3675</v>
      </c>
      <c r="J336">
        <v>77175</v>
      </c>
      <c r="K336" s="1" t="s">
        <v>207</v>
      </c>
      <c r="L336" s="2">
        <v>0.57499999999999996</v>
      </c>
      <c r="M336" s="1" t="s">
        <v>24</v>
      </c>
      <c r="N336">
        <v>735</v>
      </c>
      <c r="O336">
        <v>4761904762</v>
      </c>
      <c r="P336">
        <v>3675</v>
      </c>
      <c r="Q336">
        <v>85</v>
      </c>
    </row>
    <row r="337" spans="1:17" x14ac:dyDescent="0.25">
      <c r="A337" s="1" t="s">
        <v>458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29</v>
      </c>
      <c r="G337">
        <v>2845</v>
      </c>
      <c r="H337">
        <v>5</v>
      </c>
      <c r="I337">
        <v>71125</v>
      </c>
      <c r="J337">
        <v>1493625</v>
      </c>
      <c r="K337" s="1" t="s">
        <v>288</v>
      </c>
      <c r="L337" s="2">
        <v>0.4284722222222222</v>
      </c>
      <c r="M337" s="1" t="s">
        <v>36</v>
      </c>
      <c r="N337">
        <v>14225</v>
      </c>
      <c r="O337">
        <v>4761904762</v>
      </c>
      <c r="P337">
        <v>71125</v>
      </c>
      <c r="Q337">
        <v>91</v>
      </c>
    </row>
    <row r="338" spans="1:17" x14ac:dyDescent="0.25">
      <c r="A338" s="1" t="s">
        <v>459</v>
      </c>
      <c r="B338" s="1" t="s">
        <v>18</v>
      </c>
      <c r="C338" s="1" t="s">
        <v>19</v>
      </c>
      <c r="D338" s="1" t="s">
        <v>28</v>
      </c>
      <c r="E338" s="1" t="s">
        <v>33</v>
      </c>
      <c r="F338" s="1" t="s">
        <v>56</v>
      </c>
      <c r="G338">
        <v>764</v>
      </c>
      <c r="H338">
        <v>9</v>
      </c>
      <c r="I338">
        <v>3438</v>
      </c>
      <c r="J338">
        <v>72198</v>
      </c>
      <c r="K338" s="1" t="s">
        <v>121</v>
      </c>
      <c r="L338" s="2">
        <v>0.65902777777777777</v>
      </c>
      <c r="M338" s="1" t="s">
        <v>24</v>
      </c>
      <c r="N338">
        <v>6876</v>
      </c>
      <c r="O338">
        <v>4761904762</v>
      </c>
      <c r="P338">
        <v>3438</v>
      </c>
      <c r="Q338">
        <v>75</v>
      </c>
    </row>
    <row r="339" spans="1:17" x14ac:dyDescent="0.25">
      <c r="A339" s="1" t="s">
        <v>460</v>
      </c>
      <c r="B339" s="1" t="s">
        <v>51</v>
      </c>
      <c r="C339" s="1" t="s">
        <v>52</v>
      </c>
      <c r="D339" s="1" t="s">
        <v>28</v>
      </c>
      <c r="E339" s="1" t="s">
        <v>21</v>
      </c>
      <c r="F339" s="1" t="s">
        <v>40</v>
      </c>
      <c r="G339">
        <v>5795</v>
      </c>
      <c r="H339">
        <v>6</v>
      </c>
      <c r="I339">
        <v>17385</v>
      </c>
      <c r="J339">
        <v>365085</v>
      </c>
      <c r="K339" s="1" t="s">
        <v>47</v>
      </c>
      <c r="L339" s="2">
        <v>0.54305555555555551</v>
      </c>
      <c r="M339" s="1" t="s">
        <v>31</v>
      </c>
      <c r="N339">
        <v>3477</v>
      </c>
      <c r="O339">
        <v>4761904762</v>
      </c>
      <c r="P339">
        <v>17385</v>
      </c>
      <c r="Q339">
        <v>52</v>
      </c>
    </row>
    <row r="340" spans="1:17" x14ac:dyDescent="0.25">
      <c r="A340" s="1" t="s">
        <v>461</v>
      </c>
      <c r="B340" s="1" t="s">
        <v>26</v>
      </c>
      <c r="C340" s="1" t="s">
        <v>27</v>
      </c>
      <c r="D340" s="1" t="s">
        <v>28</v>
      </c>
      <c r="E340" s="1" t="s">
        <v>21</v>
      </c>
      <c r="F340" s="1" t="s">
        <v>29</v>
      </c>
      <c r="G340">
        <v>4765</v>
      </c>
      <c r="H340">
        <v>3</v>
      </c>
      <c r="I340">
        <v>71475</v>
      </c>
      <c r="J340">
        <v>1500975</v>
      </c>
      <c r="K340" s="1" t="s">
        <v>201</v>
      </c>
      <c r="L340" s="2">
        <v>0.54027777777777775</v>
      </c>
      <c r="M340" s="1" t="s">
        <v>36</v>
      </c>
      <c r="N340">
        <v>14295</v>
      </c>
      <c r="O340">
        <v>4761904762</v>
      </c>
      <c r="P340">
        <v>71475</v>
      </c>
      <c r="Q340">
        <v>95</v>
      </c>
    </row>
    <row r="341" spans="1:17" x14ac:dyDescent="0.25">
      <c r="A341" s="1" t="s">
        <v>462</v>
      </c>
      <c r="B341" s="1" t="s">
        <v>51</v>
      </c>
      <c r="C341" s="1" t="s">
        <v>52</v>
      </c>
      <c r="D341" s="1" t="s">
        <v>20</v>
      </c>
      <c r="E341" s="1" t="s">
        <v>21</v>
      </c>
      <c r="F341" s="1" t="s">
        <v>53</v>
      </c>
      <c r="G341">
        <v>4282</v>
      </c>
      <c r="H341">
        <v>9</v>
      </c>
      <c r="I341">
        <v>19269</v>
      </c>
      <c r="J341">
        <v>404649</v>
      </c>
      <c r="K341" s="1" t="s">
        <v>210</v>
      </c>
      <c r="L341" s="2">
        <v>0.6430555555555556</v>
      </c>
      <c r="M341" s="1" t="s">
        <v>36</v>
      </c>
      <c r="N341">
        <v>38538</v>
      </c>
      <c r="O341">
        <v>4761904762</v>
      </c>
      <c r="P341">
        <v>19269</v>
      </c>
      <c r="Q341">
        <v>89</v>
      </c>
    </row>
    <row r="342" spans="1:17" x14ac:dyDescent="0.25">
      <c r="A342" s="1" t="s">
        <v>463</v>
      </c>
      <c r="B342" s="1" t="s">
        <v>51</v>
      </c>
      <c r="C342" s="1" t="s">
        <v>52</v>
      </c>
      <c r="D342" s="1" t="s">
        <v>20</v>
      </c>
      <c r="E342" s="1" t="s">
        <v>33</v>
      </c>
      <c r="F342" s="1" t="s">
        <v>29</v>
      </c>
      <c r="G342">
        <v>4809</v>
      </c>
      <c r="H342">
        <v>3</v>
      </c>
      <c r="I342">
        <v>72135</v>
      </c>
      <c r="J342">
        <v>1514835</v>
      </c>
      <c r="K342" s="1" t="s">
        <v>119</v>
      </c>
      <c r="L342" s="2">
        <v>0.76597222222222228</v>
      </c>
      <c r="M342" s="1" t="s">
        <v>36</v>
      </c>
      <c r="N342">
        <v>14427</v>
      </c>
      <c r="O342">
        <v>4761904762</v>
      </c>
      <c r="P342">
        <v>72135</v>
      </c>
      <c r="Q342">
        <v>78</v>
      </c>
    </row>
    <row r="343" spans="1:17" x14ac:dyDescent="0.25">
      <c r="A343" s="1" t="s">
        <v>464</v>
      </c>
      <c r="B343" s="1" t="s">
        <v>51</v>
      </c>
      <c r="C343" s="1" t="s">
        <v>52</v>
      </c>
      <c r="D343" s="1" t="s">
        <v>20</v>
      </c>
      <c r="E343" s="1" t="s">
        <v>21</v>
      </c>
      <c r="F343" s="1" t="s">
        <v>22</v>
      </c>
      <c r="G343">
        <v>5597</v>
      </c>
      <c r="H343">
        <v>7</v>
      </c>
      <c r="I343">
        <v>195895</v>
      </c>
      <c r="J343">
        <v>4113795</v>
      </c>
      <c r="K343" s="1" t="s">
        <v>77</v>
      </c>
      <c r="L343" s="2">
        <v>0.79583333333333328</v>
      </c>
      <c r="M343" s="1" t="s">
        <v>24</v>
      </c>
      <c r="N343">
        <v>39179</v>
      </c>
      <c r="O343">
        <v>4761904762</v>
      </c>
      <c r="P343">
        <v>195895</v>
      </c>
      <c r="Q343">
        <v>89</v>
      </c>
    </row>
    <row r="344" spans="1:17" x14ac:dyDescent="0.25">
      <c r="A344" s="1" t="s">
        <v>465</v>
      </c>
      <c r="B344" s="1" t="s">
        <v>51</v>
      </c>
      <c r="C344" s="1" t="s">
        <v>52</v>
      </c>
      <c r="D344" s="1" t="s">
        <v>20</v>
      </c>
      <c r="E344" s="1" t="s">
        <v>21</v>
      </c>
      <c r="F344" s="1" t="s">
        <v>22</v>
      </c>
      <c r="G344">
        <v>769</v>
      </c>
      <c r="H344">
        <v>7</v>
      </c>
      <c r="I344">
        <v>26915</v>
      </c>
      <c r="J344">
        <v>565215</v>
      </c>
      <c r="K344" s="1" t="s">
        <v>139</v>
      </c>
      <c r="L344" s="2">
        <v>0.84791666666666665</v>
      </c>
      <c r="M344" s="1" t="s">
        <v>31</v>
      </c>
      <c r="N344">
        <v>5383</v>
      </c>
      <c r="O344">
        <v>4761904762</v>
      </c>
      <c r="P344">
        <v>26915</v>
      </c>
      <c r="Q344">
        <v>77</v>
      </c>
    </row>
    <row r="345" spans="1:17" x14ac:dyDescent="0.25">
      <c r="A345" s="1" t="s">
        <v>466</v>
      </c>
      <c r="B345" s="1" t="s">
        <v>26</v>
      </c>
      <c r="C345" s="1" t="s">
        <v>27</v>
      </c>
      <c r="D345" s="1" t="s">
        <v>28</v>
      </c>
      <c r="E345" s="1" t="s">
        <v>21</v>
      </c>
      <c r="F345" s="1" t="s">
        <v>53</v>
      </c>
      <c r="G345">
        <v>9703</v>
      </c>
      <c r="H345">
        <v>5</v>
      </c>
      <c r="I345">
        <v>242575</v>
      </c>
      <c r="J345">
        <v>5094075</v>
      </c>
      <c r="K345" s="1" t="s">
        <v>274</v>
      </c>
      <c r="L345" s="2">
        <v>0.68333333333333335</v>
      </c>
      <c r="M345" s="1" t="s">
        <v>24</v>
      </c>
      <c r="N345">
        <v>48515</v>
      </c>
      <c r="O345">
        <v>4761904762</v>
      </c>
      <c r="P345">
        <v>242575</v>
      </c>
      <c r="Q345">
        <v>93</v>
      </c>
    </row>
    <row r="346" spans="1:17" x14ac:dyDescent="0.25">
      <c r="A346" s="1" t="s">
        <v>467</v>
      </c>
      <c r="B346" s="1" t="s">
        <v>18</v>
      </c>
      <c r="C346" s="1" t="s">
        <v>19</v>
      </c>
      <c r="D346" s="1" t="s">
        <v>28</v>
      </c>
      <c r="E346" s="1" t="s">
        <v>33</v>
      </c>
      <c r="F346" s="1" t="s">
        <v>40</v>
      </c>
      <c r="G346">
        <v>4465</v>
      </c>
      <c r="H346">
        <v>3</v>
      </c>
      <c r="I346">
        <v>66975</v>
      </c>
      <c r="J346">
        <v>1406475</v>
      </c>
      <c r="K346" s="1" t="s">
        <v>145</v>
      </c>
      <c r="L346" s="2">
        <v>0.62777777777777777</v>
      </c>
      <c r="M346" s="1" t="s">
        <v>31</v>
      </c>
      <c r="N346">
        <v>13395</v>
      </c>
      <c r="O346">
        <v>4761904762</v>
      </c>
      <c r="P346">
        <v>66975</v>
      </c>
      <c r="Q346">
        <v>62</v>
      </c>
    </row>
    <row r="347" spans="1:17" x14ac:dyDescent="0.25">
      <c r="A347" s="1" t="s">
        <v>468</v>
      </c>
      <c r="B347" s="1" t="s">
        <v>18</v>
      </c>
      <c r="C347" s="1" t="s">
        <v>19</v>
      </c>
      <c r="D347" s="1" t="s">
        <v>28</v>
      </c>
      <c r="E347" s="1" t="s">
        <v>21</v>
      </c>
      <c r="F347" s="1" t="s">
        <v>56</v>
      </c>
      <c r="G347">
        <v>7793</v>
      </c>
      <c r="H347">
        <v>9</v>
      </c>
      <c r="I347">
        <v>350685</v>
      </c>
      <c r="J347">
        <v>7364385</v>
      </c>
      <c r="K347" s="1" t="s">
        <v>116</v>
      </c>
      <c r="L347" s="2">
        <v>0.67361111111111116</v>
      </c>
      <c r="M347" s="1" t="s">
        <v>24</v>
      </c>
      <c r="N347">
        <v>70137</v>
      </c>
      <c r="O347">
        <v>4761904762</v>
      </c>
      <c r="P347">
        <v>350685</v>
      </c>
      <c r="Q347">
        <v>76</v>
      </c>
    </row>
    <row r="348" spans="1:17" x14ac:dyDescent="0.25">
      <c r="A348" s="1" t="s">
        <v>469</v>
      </c>
      <c r="B348" s="1" t="s">
        <v>18</v>
      </c>
      <c r="C348" s="1" t="s">
        <v>19</v>
      </c>
      <c r="D348" s="1" t="s">
        <v>20</v>
      </c>
      <c r="E348" s="1" t="s">
        <v>33</v>
      </c>
      <c r="F348" s="1" t="s">
        <v>29</v>
      </c>
      <c r="G348">
        <v>7195</v>
      </c>
      <c r="H348">
        <v>1</v>
      </c>
      <c r="I348">
        <v>35975</v>
      </c>
      <c r="J348">
        <v>755475</v>
      </c>
      <c r="K348" s="1" t="s">
        <v>470</v>
      </c>
      <c r="L348" s="2">
        <v>0.50972222222222219</v>
      </c>
      <c r="M348" s="1" t="s">
        <v>31</v>
      </c>
      <c r="N348">
        <v>7195</v>
      </c>
      <c r="O348">
        <v>4761904762</v>
      </c>
      <c r="P348">
        <v>35975</v>
      </c>
      <c r="Q348">
        <v>73</v>
      </c>
    </row>
    <row r="349" spans="1:17" x14ac:dyDescent="0.25">
      <c r="A349" s="1" t="s">
        <v>471</v>
      </c>
      <c r="B349" s="1" t="s">
        <v>26</v>
      </c>
      <c r="C349" s="1" t="s">
        <v>27</v>
      </c>
      <c r="D349" s="1" t="s">
        <v>20</v>
      </c>
      <c r="E349" s="1" t="s">
        <v>21</v>
      </c>
      <c r="F349" s="1" t="s">
        <v>34</v>
      </c>
      <c r="G349">
        <v>8925</v>
      </c>
      <c r="H349">
        <v>8</v>
      </c>
      <c r="I349">
        <v>357</v>
      </c>
      <c r="J349">
        <v>7497</v>
      </c>
      <c r="K349" s="1" t="s">
        <v>135</v>
      </c>
      <c r="L349" s="2">
        <v>0.42569444444444443</v>
      </c>
      <c r="M349" s="1" t="s">
        <v>31</v>
      </c>
      <c r="N349">
        <v>714</v>
      </c>
      <c r="O349">
        <v>4761904762</v>
      </c>
      <c r="P349">
        <v>357</v>
      </c>
      <c r="Q349">
        <v>47</v>
      </c>
    </row>
    <row r="350" spans="1:17" x14ac:dyDescent="0.25">
      <c r="A350" s="1" t="s">
        <v>472</v>
      </c>
      <c r="B350" s="1" t="s">
        <v>18</v>
      </c>
      <c r="C350" s="1" t="s">
        <v>19</v>
      </c>
      <c r="D350" s="1" t="s">
        <v>28</v>
      </c>
      <c r="E350" s="1" t="s">
        <v>33</v>
      </c>
      <c r="F350" s="1" t="s">
        <v>29</v>
      </c>
      <c r="G350">
        <v>2602</v>
      </c>
      <c r="H350">
        <v>7</v>
      </c>
      <c r="I350">
        <v>9107</v>
      </c>
      <c r="J350">
        <v>191247</v>
      </c>
      <c r="K350" s="1" t="s">
        <v>201</v>
      </c>
      <c r="L350" s="2">
        <v>0.73472222222222228</v>
      </c>
      <c r="M350" s="1" t="s">
        <v>31</v>
      </c>
      <c r="N350">
        <v>18214</v>
      </c>
      <c r="O350">
        <v>4761904762</v>
      </c>
      <c r="P350">
        <v>9107</v>
      </c>
      <c r="Q350">
        <v>51</v>
      </c>
    </row>
    <row r="351" spans="1:17" x14ac:dyDescent="0.25">
      <c r="A351" s="1" t="s">
        <v>473</v>
      </c>
      <c r="B351" s="1" t="s">
        <v>51</v>
      </c>
      <c r="C351" s="1" t="s">
        <v>52</v>
      </c>
      <c r="D351" s="1" t="s">
        <v>28</v>
      </c>
      <c r="E351" s="1" t="s">
        <v>21</v>
      </c>
      <c r="F351" s="1" t="s">
        <v>22</v>
      </c>
      <c r="G351">
        <v>135</v>
      </c>
      <c r="H351">
        <v>10</v>
      </c>
      <c r="I351">
        <v>675</v>
      </c>
      <c r="J351">
        <v>14175</v>
      </c>
      <c r="K351" s="1" t="s">
        <v>116</v>
      </c>
      <c r="L351" s="2">
        <v>0.46250000000000002</v>
      </c>
      <c r="M351" s="1" t="s">
        <v>36</v>
      </c>
      <c r="N351">
        <v>135</v>
      </c>
      <c r="O351">
        <v>4761904762</v>
      </c>
      <c r="P351">
        <v>675</v>
      </c>
      <c r="Q351">
        <v>48</v>
      </c>
    </row>
    <row r="352" spans="1:17" x14ac:dyDescent="0.25">
      <c r="A352" s="1" t="s">
        <v>474</v>
      </c>
      <c r="B352" s="1" t="s">
        <v>26</v>
      </c>
      <c r="C352" s="1" t="s">
        <v>27</v>
      </c>
      <c r="D352" s="1" t="s">
        <v>20</v>
      </c>
      <c r="E352" s="1" t="s">
        <v>21</v>
      </c>
      <c r="F352" s="1" t="s">
        <v>56</v>
      </c>
      <c r="G352">
        <v>993</v>
      </c>
      <c r="H352">
        <v>10</v>
      </c>
      <c r="I352">
        <v>4965</v>
      </c>
      <c r="J352">
        <v>104265</v>
      </c>
      <c r="K352" s="1" t="s">
        <v>139</v>
      </c>
      <c r="L352" s="2">
        <v>0.62013888888888891</v>
      </c>
      <c r="M352" s="1" t="s">
        <v>36</v>
      </c>
      <c r="N352">
        <v>993</v>
      </c>
      <c r="O352">
        <v>4761904762</v>
      </c>
      <c r="P352">
        <v>4965</v>
      </c>
      <c r="Q352">
        <v>66</v>
      </c>
    </row>
    <row r="353" spans="1:17" x14ac:dyDescent="0.25">
      <c r="A353" s="1" t="s">
        <v>475</v>
      </c>
      <c r="B353" s="1" t="s">
        <v>18</v>
      </c>
      <c r="C353" s="1" t="s">
        <v>19</v>
      </c>
      <c r="D353" s="1" t="s">
        <v>28</v>
      </c>
      <c r="E353" s="1" t="s">
        <v>33</v>
      </c>
      <c r="F353" s="1" t="s">
        <v>29</v>
      </c>
      <c r="G353">
        <v>5169</v>
      </c>
      <c r="H353">
        <v>7</v>
      </c>
      <c r="I353">
        <v>180915</v>
      </c>
      <c r="J353">
        <v>3799215</v>
      </c>
      <c r="K353" s="1" t="s">
        <v>171</v>
      </c>
      <c r="L353" s="2">
        <v>0.76527777777777772</v>
      </c>
      <c r="M353" s="1" t="s">
        <v>31</v>
      </c>
      <c r="N353">
        <v>36183</v>
      </c>
      <c r="O353">
        <v>4761904762</v>
      </c>
      <c r="P353">
        <v>180915</v>
      </c>
      <c r="Q353">
        <v>55</v>
      </c>
    </row>
    <row r="354" spans="1:17" x14ac:dyDescent="0.25">
      <c r="A354" s="1" t="s">
        <v>476</v>
      </c>
      <c r="B354" s="1" t="s">
        <v>51</v>
      </c>
      <c r="C354" s="1" t="s">
        <v>52</v>
      </c>
      <c r="D354" s="1" t="s">
        <v>20</v>
      </c>
      <c r="E354" s="1" t="s">
        <v>21</v>
      </c>
      <c r="F354" s="1" t="s">
        <v>56</v>
      </c>
      <c r="G354">
        <v>5473</v>
      </c>
      <c r="H354">
        <v>7</v>
      </c>
      <c r="I354">
        <v>191555</v>
      </c>
      <c r="J354">
        <v>4022655</v>
      </c>
      <c r="K354" s="1" t="s">
        <v>389</v>
      </c>
      <c r="L354" s="2">
        <v>0.79305555555555551</v>
      </c>
      <c r="M354" s="1" t="s">
        <v>36</v>
      </c>
      <c r="N354">
        <v>38311</v>
      </c>
      <c r="O354">
        <v>4761904762</v>
      </c>
      <c r="P354">
        <v>191555</v>
      </c>
      <c r="Q354">
        <v>85</v>
      </c>
    </row>
    <row r="355" spans="1:17" x14ac:dyDescent="0.25">
      <c r="A355" s="1" t="s">
        <v>477</v>
      </c>
      <c r="B355" s="1" t="s">
        <v>51</v>
      </c>
      <c r="C355" s="1" t="s">
        <v>52</v>
      </c>
      <c r="D355" s="1" t="s">
        <v>20</v>
      </c>
      <c r="E355" s="1" t="s">
        <v>33</v>
      </c>
      <c r="F355" s="1" t="s">
        <v>34</v>
      </c>
      <c r="G355">
        <v>27</v>
      </c>
      <c r="H355">
        <v>9</v>
      </c>
      <c r="I355">
        <v>1215</v>
      </c>
      <c r="J355">
        <v>25515</v>
      </c>
      <c r="K355" s="1" t="s">
        <v>83</v>
      </c>
      <c r="L355" s="2">
        <v>0.59444444444444444</v>
      </c>
      <c r="M355" s="1" t="s">
        <v>31</v>
      </c>
      <c r="N355">
        <v>243</v>
      </c>
      <c r="O355">
        <v>4761904762</v>
      </c>
      <c r="P355">
        <v>1215</v>
      </c>
      <c r="Q355">
        <v>48</v>
      </c>
    </row>
    <row r="356" spans="1:17" x14ac:dyDescent="0.25">
      <c r="A356" s="1" t="s">
        <v>478</v>
      </c>
      <c r="B356" s="1" t="s">
        <v>26</v>
      </c>
      <c r="C356" s="1" t="s">
        <v>27</v>
      </c>
      <c r="D356" s="1" t="s">
        <v>28</v>
      </c>
      <c r="E356" s="1" t="s">
        <v>21</v>
      </c>
      <c r="F356" s="1" t="s">
        <v>29</v>
      </c>
      <c r="G356">
        <v>3024</v>
      </c>
      <c r="H356">
        <v>1</v>
      </c>
      <c r="I356">
        <v>1512</v>
      </c>
      <c r="J356">
        <v>31752</v>
      </c>
      <c r="K356" s="1" t="s">
        <v>111</v>
      </c>
      <c r="L356" s="2">
        <v>0.65555555555555556</v>
      </c>
      <c r="M356" s="1" t="s">
        <v>31</v>
      </c>
      <c r="N356">
        <v>3024</v>
      </c>
      <c r="O356">
        <v>4761904762</v>
      </c>
      <c r="P356">
        <v>1512</v>
      </c>
      <c r="Q356">
        <v>84</v>
      </c>
    </row>
    <row r="357" spans="1:17" x14ac:dyDescent="0.25">
      <c r="A357" s="1" t="s">
        <v>479</v>
      </c>
      <c r="B357" s="1" t="s">
        <v>51</v>
      </c>
      <c r="C357" s="1" t="s">
        <v>52</v>
      </c>
      <c r="D357" s="1" t="s">
        <v>20</v>
      </c>
      <c r="E357" s="1" t="s">
        <v>21</v>
      </c>
      <c r="F357" s="1" t="s">
        <v>53</v>
      </c>
      <c r="G357">
        <v>8914</v>
      </c>
      <c r="H357">
        <v>4</v>
      </c>
      <c r="I357">
        <v>17828</v>
      </c>
      <c r="J357">
        <v>374388</v>
      </c>
      <c r="K357" s="1" t="s">
        <v>99</v>
      </c>
      <c r="L357" s="2">
        <v>0.51388888888888884</v>
      </c>
      <c r="M357" s="1" t="s">
        <v>36</v>
      </c>
      <c r="N357">
        <v>35656</v>
      </c>
      <c r="O357">
        <v>4761904762</v>
      </c>
      <c r="P357">
        <v>17828</v>
      </c>
      <c r="Q357">
        <v>78</v>
      </c>
    </row>
    <row r="358" spans="1:17" x14ac:dyDescent="0.25">
      <c r="A358" s="1" t="s">
        <v>480</v>
      </c>
      <c r="B358" s="1" t="s">
        <v>26</v>
      </c>
      <c r="C358" s="1" t="s">
        <v>27</v>
      </c>
      <c r="D358" s="1" t="s">
        <v>28</v>
      </c>
      <c r="E358" s="1" t="s">
        <v>21</v>
      </c>
      <c r="F358" s="1" t="s">
        <v>56</v>
      </c>
      <c r="G358">
        <v>3755</v>
      </c>
      <c r="H358">
        <v>10</v>
      </c>
      <c r="I358">
        <v>18775</v>
      </c>
      <c r="J358">
        <v>394275</v>
      </c>
      <c r="K358" s="1" t="s">
        <v>30</v>
      </c>
      <c r="L358" s="2">
        <v>0.83402777777777781</v>
      </c>
      <c r="M358" s="1" t="s">
        <v>36</v>
      </c>
      <c r="N358">
        <v>3755</v>
      </c>
      <c r="O358">
        <v>4761904762</v>
      </c>
      <c r="P358">
        <v>18775</v>
      </c>
      <c r="Q358">
        <v>93</v>
      </c>
    </row>
    <row r="359" spans="1:17" x14ac:dyDescent="0.25">
      <c r="A359" s="1" t="s">
        <v>481</v>
      </c>
      <c r="B359" s="1" t="s">
        <v>26</v>
      </c>
      <c r="C359" s="1" t="s">
        <v>27</v>
      </c>
      <c r="D359" s="1" t="s">
        <v>28</v>
      </c>
      <c r="E359" s="1" t="s">
        <v>21</v>
      </c>
      <c r="F359" s="1" t="s">
        <v>40</v>
      </c>
      <c r="G359">
        <v>9544</v>
      </c>
      <c r="H359">
        <v>10</v>
      </c>
      <c r="I359">
        <v>4772</v>
      </c>
      <c r="J359">
        <v>100212</v>
      </c>
      <c r="K359" s="1" t="s">
        <v>164</v>
      </c>
      <c r="L359" s="2">
        <v>0.57291666666666663</v>
      </c>
      <c r="M359" s="1" t="s">
        <v>31</v>
      </c>
      <c r="N359">
        <v>9544</v>
      </c>
      <c r="O359">
        <v>4761904762</v>
      </c>
      <c r="P359">
        <v>4772</v>
      </c>
      <c r="Q359">
        <v>52</v>
      </c>
    </row>
    <row r="360" spans="1:17" x14ac:dyDescent="0.25">
      <c r="A360" s="1" t="s">
        <v>482</v>
      </c>
      <c r="B360" s="1" t="s">
        <v>51</v>
      </c>
      <c r="C360" s="1" t="s">
        <v>52</v>
      </c>
      <c r="D360" s="1" t="s">
        <v>28</v>
      </c>
      <c r="E360" s="1" t="s">
        <v>33</v>
      </c>
      <c r="F360" s="1" t="s">
        <v>29</v>
      </c>
      <c r="G360">
        <v>275</v>
      </c>
      <c r="H360">
        <v>3</v>
      </c>
      <c r="I360">
        <v>4125</v>
      </c>
      <c r="J360">
        <v>86625</v>
      </c>
      <c r="K360" s="1" t="s">
        <v>197</v>
      </c>
      <c r="L360" s="2">
        <v>0.65277777777777779</v>
      </c>
      <c r="M360" s="1" t="s">
        <v>24</v>
      </c>
      <c r="N360">
        <v>825</v>
      </c>
      <c r="O360">
        <v>4761904762</v>
      </c>
      <c r="P360">
        <v>4125</v>
      </c>
      <c r="Q360">
        <v>65</v>
      </c>
    </row>
    <row r="361" spans="1:17" x14ac:dyDescent="0.25">
      <c r="A361" s="1" t="s">
        <v>483</v>
      </c>
      <c r="B361" s="1" t="s">
        <v>51</v>
      </c>
      <c r="C361" s="1" t="s">
        <v>52</v>
      </c>
      <c r="D361" s="1" t="s">
        <v>28</v>
      </c>
      <c r="E361" s="1" t="s">
        <v>33</v>
      </c>
      <c r="F361" s="1" t="s">
        <v>40</v>
      </c>
      <c r="G361">
        <v>7497</v>
      </c>
      <c r="H361">
        <v>1</v>
      </c>
      <c r="I361">
        <v>37485</v>
      </c>
      <c r="J361">
        <v>787185</v>
      </c>
      <c r="K361" s="1" t="s">
        <v>113</v>
      </c>
      <c r="L361" s="2">
        <v>0.70694444444444449</v>
      </c>
      <c r="M361" s="1" t="s">
        <v>31</v>
      </c>
      <c r="N361">
        <v>7497</v>
      </c>
      <c r="O361">
        <v>4761904762</v>
      </c>
      <c r="P361">
        <v>37485</v>
      </c>
      <c r="Q361">
        <v>56</v>
      </c>
    </row>
    <row r="362" spans="1:17" x14ac:dyDescent="0.25">
      <c r="A362" s="1" t="s">
        <v>484</v>
      </c>
      <c r="B362" s="1" t="s">
        <v>18</v>
      </c>
      <c r="C362" s="1" t="s">
        <v>19</v>
      </c>
      <c r="D362" s="1" t="s">
        <v>20</v>
      </c>
      <c r="E362" s="1" t="s">
        <v>33</v>
      </c>
      <c r="F362" s="1" t="s">
        <v>53</v>
      </c>
      <c r="G362">
        <v>8096</v>
      </c>
      <c r="H362">
        <v>8</v>
      </c>
      <c r="I362">
        <v>32384</v>
      </c>
      <c r="J362">
        <v>680064</v>
      </c>
      <c r="K362" s="1" t="s">
        <v>81</v>
      </c>
      <c r="L362" s="2">
        <v>0.46666666666666667</v>
      </c>
      <c r="M362" s="1" t="s">
        <v>36</v>
      </c>
      <c r="N362">
        <v>64768</v>
      </c>
      <c r="O362">
        <v>4761904762</v>
      </c>
      <c r="P362">
        <v>32384</v>
      </c>
      <c r="Q362">
        <v>74</v>
      </c>
    </row>
    <row r="363" spans="1:17" x14ac:dyDescent="0.25">
      <c r="A363" s="1" t="s">
        <v>485</v>
      </c>
      <c r="B363" s="1" t="s">
        <v>26</v>
      </c>
      <c r="C363" s="1" t="s">
        <v>27</v>
      </c>
      <c r="D363" s="1" t="s">
        <v>28</v>
      </c>
      <c r="E363" s="1" t="s">
        <v>21</v>
      </c>
      <c r="F363" s="1" t="s">
        <v>53</v>
      </c>
      <c r="G363">
        <v>9447</v>
      </c>
      <c r="H363">
        <v>8</v>
      </c>
      <c r="I363">
        <v>37788</v>
      </c>
      <c r="J363">
        <v>793548</v>
      </c>
      <c r="K363" s="1" t="s">
        <v>116</v>
      </c>
      <c r="L363" s="2">
        <v>0.6333333333333333</v>
      </c>
      <c r="M363" s="1" t="s">
        <v>31</v>
      </c>
      <c r="N363">
        <v>75576</v>
      </c>
      <c r="O363">
        <v>4761904762</v>
      </c>
      <c r="P363">
        <v>37788</v>
      </c>
      <c r="Q363">
        <v>91</v>
      </c>
    </row>
    <row r="364" spans="1:17" x14ac:dyDescent="0.25">
      <c r="A364" s="1" t="s">
        <v>486</v>
      </c>
      <c r="B364" s="1" t="s">
        <v>26</v>
      </c>
      <c r="C364" s="1" t="s">
        <v>27</v>
      </c>
      <c r="D364" s="1" t="s">
        <v>28</v>
      </c>
      <c r="E364" s="1" t="s">
        <v>33</v>
      </c>
      <c r="F364" s="1" t="s">
        <v>53</v>
      </c>
      <c r="G364">
        <v>9979</v>
      </c>
      <c r="H364">
        <v>2</v>
      </c>
      <c r="I364">
        <v>9979</v>
      </c>
      <c r="J364">
        <v>209559</v>
      </c>
      <c r="K364" s="1" t="s">
        <v>128</v>
      </c>
      <c r="L364" s="2">
        <v>0.85902777777777772</v>
      </c>
      <c r="M364" s="1" t="s">
        <v>24</v>
      </c>
      <c r="N364">
        <v>19958</v>
      </c>
      <c r="O364">
        <v>4761904762</v>
      </c>
      <c r="P364">
        <v>9979</v>
      </c>
      <c r="Q364">
        <v>8</v>
      </c>
    </row>
    <row r="365" spans="1:17" x14ac:dyDescent="0.25">
      <c r="A365" s="1" t="s">
        <v>487</v>
      </c>
      <c r="B365" s="1" t="s">
        <v>18</v>
      </c>
      <c r="C365" s="1" t="s">
        <v>19</v>
      </c>
      <c r="D365" s="1" t="s">
        <v>28</v>
      </c>
      <c r="E365" s="1" t="s">
        <v>33</v>
      </c>
      <c r="F365" s="1" t="s">
        <v>34</v>
      </c>
      <c r="G365">
        <v>7322</v>
      </c>
      <c r="H365">
        <v>6</v>
      </c>
      <c r="I365">
        <v>21966</v>
      </c>
      <c r="J365">
        <v>461286</v>
      </c>
      <c r="K365" s="1" t="s">
        <v>73</v>
      </c>
      <c r="L365" s="2">
        <v>0.73888888888888893</v>
      </c>
      <c r="M365" s="1" t="s">
        <v>31</v>
      </c>
      <c r="N365">
        <v>43932</v>
      </c>
      <c r="O365">
        <v>4761904762</v>
      </c>
      <c r="P365">
        <v>21966</v>
      </c>
      <c r="Q365">
        <v>72</v>
      </c>
    </row>
    <row r="366" spans="1:17" x14ac:dyDescent="0.25">
      <c r="A366" s="1" t="s">
        <v>488</v>
      </c>
      <c r="B366" s="1" t="s">
        <v>26</v>
      </c>
      <c r="C366" s="1" t="s">
        <v>27</v>
      </c>
      <c r="D366" s="1" t="s">
        <v>28</v>
      </c>
      <c r="E366" s="1" t="s">
        <v>21</v>
      </c>
      <c r="F366" s="1" t="s">
        <v>53</v>
      </c>
      <c r="G366">
        <v>4124</v>
      </c>
      <c r="H366">
        <v>4</v>
      </c>
      <c r="I366">
        <v>8248</v>
      </c>
      <c r="J366">
        <v>173208</v>
      </c>
      <c r="K366" s="1" t="s">
        <v>489</v>
      </c>
      <c r="L366" s="2">
        <v>0.68263888888888891</v>
      </c>
      <c r="M366" s="1" t="s">
        <v>31</v>
      </c>
      <c r="N366">
        <v>16496</v>
      </c>
      <c r="O366">
        <v>4761904762</v>
      </c>
      <c r="P366">
        <v>8248</v>
      </c>
      <c r="Q366">
        <v>71</v>
      </c>
    </row>
    <row r="367" spans="1:17" x14ac:dyDescent="0.25">
      <c r="A367" s="1" t="s">
        <v>490</v>
      </c>
      <c r="B367" s="1" t="s">
        <v>26</v>
      </c>
      <c r="C367" s="1" t="s">
        <v>27</v>
      </c>
      <c r="D367" s="1" t="s">
        <v>28</v>
      </c>
      <c r="E367" s="1" t="s">
        <v>21</v>
      </c>
      <c r="F367" s="1" t="s">
        <v>56</v>
      </c>
      <c r="G367">
        <v>8168</v>
      </c>
      <c r="H367">
        <v>4</v>
      </c>
      <c r="I367">
        <v>16336</v>
      </c>
      <c r="J367">
        <v>343056</v>
      </c>
      <c r="K367" s="1" t="s">
        <v>154</v>
      </c>
      <c r="L367" s="2">
        <v>0.5083333333333333</v>
      </c>
      <c r="M367" s="1" t="s">
        <v>31</v>
      </c>
      <c r="N367">
        <v>32672</v>
      </c>
      <c r="O367">
        <v>4761904762</v>
      </c>
      <c r="P367">
        <v>16336</v>
      </c>
      <c r="Q367">
        <v>91</v>
      </c>
    </row>
    <row r="368" spans="1:17" x14ac:dyDescent="0.25">
      <c r="A368" s="1" t="s">
        <v>491</v>
      </c>
      <c r="B368" s="1" t="s">
        <v>26</v>
      </c>
      <c r="C368" s="1" t="s">
        <v>27</v>
      </c>
      <c r="D368" s="1" t="s">
        <v>28</v>
      </c>
      <c r="E368" s="1" t="s">
        <v>21</v>
      </c>
      <c r="F368" s="1" t="s">
        <v>29</v>
      </c>
      <c r="G368">
        <v>5132</v>
      </c>
      <c r="H368">
        <v>9</v>
      </c>
      <c r="I368">
        <v>23094</v>
      </c>
      <c r="J368">
        <v>484974</v>
      </c>
      <c r="K368" s="1" t="s">
        <v>389</v>
      </c>
      <c r="L368" s="2">
        <v>0.81458333333333333</v>
      </c>
      <c r="M368" s="1" t="s">
        <v>31</v>
      </c>
      <c r="N368">
        <v>46188</v>
      </c>
      <c r="O368">
        <v>4761904762</v>
      </c>
      <c r="P368">
        <v>23094</v>
      </c>
      <c r="Q368">
        <v>56</v>
      </c>
    </row>
    <row r="369" spans="1:17" x14ac:dyDescent="0.25">
      <c r="A369" s="1" t="s">
        <v>492</v>
      </c>
      <c r="B369" s="1" t="s">
        <v>18</v>
      </c>
      <c r="C369" s="1" t="s">
        <v>19</v>
      </c>
      <c r="D369" s="1" t="s">
        <v>20</v>
      </c>
      <c r="E369" s="1" t="s">
        <v>33</v>
      </c>
      <c r="F369" s="1" t="s">
        <v>34</v>
      </c>
      <c r="G369">
        <v>6594</v>
      </c>
      <c r="H369">
        <v>4</v>
      </c>
      <c r="I369">
        <v>13188</v>
      </c>
      <c r="J369">
        <v>276948</v>
      </c>
      <c r="K369" s="1" t="s">
        <v>207</v>
      </c>
      <c r="L369" s="2">
        <v>0.43680555555555556</v>
      </c>
      <c r="M369" s="1" t="s">
        <v>31</v>
      </c>
      <c r="N369">
        <v>26376</v>
      </c>
      <c r="O369">
        <v>4761904762</v>
      </c>
      <c r="P369">
        <v>13188</v>
      </c>
      <c r="Q369">
        <v>6</v>
      </c>
    </row>
    <row r="370" spans="1:17" x14ac:dyDescent="0.25">
      <c r="A370" s="1" t="s">
        <v>493</v>
      </c>
      <c r="B370" s="1" t="s">
        <v>26</v>
      </c>
      <c r="C370" s="1" t="s">
        <v>27</v>
      </c>
      <c r="D370" s="1" t="s">
        <v>28</v>
      </c>
      <c r="E370" s="1" t="s">
        <v>21</v>
      </c>
      <c r="F370" s="1" t="s">
        <v>40</v>
      </c>
      <c r="G370">
        <v>1436</v>
      </c>
      <c r="H370">
        <v>10</v>
      </c>
      <c r="I370">
        <v>718</v>
      </c>
      <c r="J370">
        <v>15078</v>
      </c>
      <c r="K370" s="1" t="s">
        <v>38</v>
      </c>
      <c r="L370" s="2">
        <v>0.60277777777777775</v>
      </c>
      <c r="M370" s="1" t="s">
        <v>31</v>
      </c>
      <c r="N370">
        <v>1436</v>
      </c>
      <c r="O370">
        <v>4761904762</v>
      </c>
      <c r="P370">
        <v>718</v>
      </c>
      <c r="Q370">
        <v>54</v>
      </c>
    </row>
    <row r="371" spans="1:17" x14ac:dyDescent="0.25">
      <c r="A371" s="1" t="s">
        <v>494</v>
      </c>
      <c r="B371" s="1" t="s">
        <v>18</v>
      </c>
      <c r="C371" s="1" t="s">
        <v>19</v>
      </c>
      <c r="D371" s="1" t="s">
        <v>20</v>
      </c>
      <c r="E371" s="1" t="s">
        <v>33</v>
      </c>
      <c r="F371" s="1" t="s">
        <v>29</v>
      </c>
      <c r="G371">
        <v>215</v>
      </c>
      <c r="H371">
        <v>9</v>
      </c>
      <c r="I371">
        <v>9675</v>
      </c>
      <c r="J371">
        <v>203175</v>
      </c>
      <c r="K371" s="1" t="s">
        <v>143</v>
      </c>
      <c r="L371" s="2">
        <v>0.53194444444444444</v>
      </c>
      <c r="M371" s="1" t="s">
        <v>36</v>
      </c>
      <c r="N371">
        <v>1935</v>
      </c>
      <c r="O371">
        <v>4761904762</v>
      </c>
      <c r="P371">
        <v>9675</v>
      </c>
      <c r="Q371">
        <v>78</v>
      </c>
    </row>
    <row r="372" spans="1:17" x14ac:dyDescent="0.25">
      <c r="A372" s="1" t="s">
        <v>495</v>
      </c>
      <c r="B372" s="1" t="s">
        <v>51</v>
      </c>
      <c r="C372" s="1" t="s">
        <v>52</v>
      </c>
      <c r="D372" s="1" t="s">
        <v>20</v>
      </c>
      <c r="E372" s="1" t="s">
        <v>21</v>
      </c>
      <c r="F372" s="1" t="s">
        <v>29</v>
      </c>
      <c r="G372">
        <v>2626</v>
      </c>
      <c r="H372">
        <v>7</v>
      </c>
      <c r="I372">
        <v>9191</v>
      </c>
      <c r="J372">
        <v>193011</v>
      </c>
      <c r="K372" s="1" t="s">
        <v>108</v>
      </c>
      <c r="L372" s="2">
        <v>0.81944444444444442</v>
      </c>
      <c r="M372" s="1" t="s">
        <v>31</v>
      </c>
      <c r="N372">
        <v>18382</v>
      </c>
      <c r="O372">
        <v>4761904762</v>
      </c>
      <c r="P372">
        <v>9191</v>
      </c>
      <c r="Q372">
        <v>99</v>
      </c>
    </row>
    <row r="373" spans="1:17" x14ac:dyDescent="0.25">
      <c r="A373" s="1" t="s">
        <v>496</v>
      </c>
      <c r="B373" s="1" t="s">
        <v>51</v>
      </c>
      <c r="C373" s="1" t="s">
        <v>52</v>
      </c>
      <c r="D373" s="1" t="s">
        <v>28</v>
      </c>
      <c r="E373" s="1" t="s">
        <v>21</v>
      </c>
      <c r="F373" s="1" t="s">
        <v>56</v>
      </c>
      <c r="G373">
        <v>6096</v>
      </c>
      <c r="H373">
        <v>2</v>
      </c>
      <c r="I373">
        <v>6096</v>
      </c>
      <c r="J373">
        <v>128016</v>
      </c>
      <c r="K373" s="1" t="s">
        <v>90</v>
      </c>
      <c r="L373" s="2">
        <v>0.81874999999999998</v>
      </c>
      <c r="M373" s="1" t="s">
        <v>36</v>
      </c>
      <c r="N373">
        <v>12192</v>
      </c>
      <c r="O373">
        <v>4761904762</v>
      </c>
      <c r="P373">
        <v>6096</v>
      </c>
      <c r="Q373">
        <v>49</v>
      </c>
    </row>
    <row r="374" spans="1:17" x14ac:dyDescent="0.25">
      <c r="A374" s="1" t="s">
        <v>497</v>
      </c>
      <c r="B374" s="1" t="s">
        <v>26</v>
      </c>
      <c r="C374" s="1" t="s">
        <v>27</v>
      </c>
      <c r="D374" s="1" t="s">
        <v>28</v>
      </c>
      <c r="E374" s="1" t="s">
        <v>21</v>
      </c>
      <c r="F374" s="1" t="s">
        <v>34</v>
      </c>
      <c r="G374">
        <v>7011</v>
      </c>
      <c r="H374">
        <v>6</v>
      </c>
      <c r="I374">
        <v>21033</v>
      </c>
      <c r="J374">
        <v>441693</v>
      </c>
      <c r="K374" s="1" t="s">
        <v>389</v>
      </c>
      <c r="L374" s="2">
        <v>0.74583333333333335</v>
      </c>
      <c r="M374" s="1" t="s">
        <v>24</v>
      </c>
      <c r="N374">
        <v>42066</v>
      </c>
      <c r="O374">
        <v>4761904762</v>
      </c>
      <c r="P374">
        <v>21033</v>
      </c>
      <c r="Q374">
        <v>52</v>
      </c>
    </row>
    <row r="375" spans="1:17" x14ac:dyDescent="0.25">
      <c r="A375" s="1" t="s">
        <v>498</v>
      </c>
      <c r="B375" s="1" t="s">
        <v>26</v>
      </c>
      <c r="C375" s="1" t="s">
        <v>27</v>
      </c>
      <c r="D375" s="1" t="s">
        <v>28</v>
      </c>
      <c r="E375" s="1" t="s">
        <v>33</v>
      </c>
      <c r="F375" s="1" t="s">
        <v>56</v>
      </c>
      <c r="G375">
        <v>4208</v>
      </c>
      <c r="H375">
        <v>6</v>
      </c>
      <c r="I375">
        <v>12624</v>
      </c>
      <c r="J375">
        <v>265104</v>
      </c>
      <c r="K375" s="1" t="s">
        <v>260</v>
      </c>
      <c r="L375" s="2">
        <v>0.51736111111111116</v>
      </c>
      <c r="M375" s="1" t="s">
        <v>31</v>
      </c>
      <c r="N375">
        <v>25248</v>
      </c>
      <c r="O375">
        <v>4761904762</v>
      </c>
      <c r="P375">
        <v>12624</v>
      </c>
      <c r="Q375">
        <v>89</v>
      </c>
    </row>
    <row r="376" spans="1:17" x14ac:dyDescent="0.25">
      <c r="A376" s="1" t="s">
        <v>499</v>
      </c>
      <c r="B376" s="1" t="s">
        <v>18</v>
      </c>
      <c r="C376" s="1" t="s">
        <v>19</v>
      </c>
      <c r="D376" s="1" t="s">
        <v>28</v>
      </c>
      <c r="E376" s="1" t="s">
        <v>21</v>
      </c>
      <c r="F376" s="1" t="s">
        <v>34</v>
      </c>
      <c r="G376">
        <v>6709</v>
      </c>
      <c r="H376">
        <v>5</v>
      </c>
      <c r="I376">
        <v>167725</v>
      </c>
      <c r="J376">
        <v>3522225</v>
      </c>
      <c r="K376" s="1" t="s">
        <v>282</v>
      </c>
      <c r="L376" s="2">
        <v>0.69930555555555551</v>
      </c>
      <c r="M376" s="1" t="s">
        <v>36</v>
      </c>
      <c r="N376">
        <v>33545</v>
      </c>
      <c r="O376">
        <v>4761904762</v>
      </c>
      <c r="P376">
        <v>167725</v>
      </c>
      <c r="Q376">
        <v>91</v>
      </c>
    </row>
    <row r="377" spans="1:17" x14ac:dyDescent="0.25">
      <c r="A377" s="1" t="s">
        <v>500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56</v>
      </c>
      <c r="G377">
        <v>967</v>
      </c>
      <c r="H377">
        <v>5</v>
      </c>
      <c r="I377">
        <v>24175</v>
      </c>
      <c r="J377">
        <v>507675</v>
      </c>
      <c r="K377" s="1" t="s">
        <v>317</v>
      </c>
      <c r="L377" s="2">
        <v>0.53611111111111109</v>
      </c>
      <c r="M377" s="1" t="s">
        <v>24</v>
      </c>
      <c r="N377">
        <v>4835</v>
      </c>
      <c r="O377">
        <v>4761904762</v>
      </c>
      <c r="P377">
        <v>24175</v>
      </c>
      <c r="Q377">
        <v>7</v>
      </c>
    </row>
    <row r="378" spans="1:17" x14ac:dyDescent="0.25">
      <c r="A378" s="1" t="s">
        <v>501</v>
      </c>
      <c r="B378" s="1" t="s">
        <v>51</v>
      </c>
      <c r="C378" s="1" t="s">
        <v>52</v>
      </c>
      <c r="D378" s="1" t="s">
        <v>20</v>
      </c>
      <c r="E378" s="1" t="s">
        <v>21</v>
      </c>
      <c r="F378" s="1" t="s">
        <v>34</v>
      </c>
      <c r="G378">
        <v>3538</v>
      </c>
      <c r="H378">
        <v>9</v>
      </c>
      <c r="I378">
        <v>15921</v>
      </c>
      <c r="J378">
        <v>334341</v>
      </c>
      <c r="K378" s="1" t="s">
        <v>23</v>
      </c>
      <c r="L378" s="2">
        <v>0.82638888888888884</v>
      </c>
      <c r="M378" s="1" t="s">
        <v>36</v>
      </c>
      <c r="N378">
        <v>31842</v>
      </c>
      <c r="O378">
        <v>4761904762</v>
      </c>
      <c r="P378">
        <v>15921</v>
      </c>
      <c r="Q378">
        <v>96</v>
      </c>
    </row>
    <row r="379" spans="1:17" x14ac:dyDescent="0.25">
      <c r="A379" s="1" t="s">
        <v>502</v>
      </c>
      <c r="B379" s="1" t="s">
        <v>26</v>
      </c>
      <c r="C379" s="1" t="s">
        <v>27</v>
      </c>
      <c r="D379" s="1" t="s">
        <v>28</v>
      </c>
      <c r="E379" s="1" t="s">
        <v>33</v>
      </c>
      <c r="F379" s="1" t="s">
        <v>40</v>
      </c>
      <c r="G379">
        <v>9549</v>
      </c>
      <c r="H379">
        <v>7</v>
      </c>
      <c r="I379">
        <v>334215</v>
      </c>
      <c r="J379">
        <v>7018515</v>
      </c>
      <c r="K379" s="1" t="s">
        <v>250</v>
      </c>
      <c r="L379" s="2">
        <v>0.76180555555555551</v>
      </c>
      <c r="M379" s="1" t="s">
        <v>24</v>
      </c>
      <c r="N379">
        <v>66843</v>
      </c>
      <c r="O379">
        <v>4761904762</v>
      </c>
      <c r="P379">
        <v>334215</v>
      </c>
      <c r="Q379">
        <v>87</v>
      </c>
    </row>
    <row r="380" spans="1:17" x14ac:dyDescent="0.25">
      <c r="A380" s="1" t="s">
        <v>503</v>
      </c>
      <c r="B380" s="1" t="s">
        <v>26</v>
      </c>
      <c r="C380" s="1" t="s">
        <v>27</v>
      </c>
      <c r="D380" s="1" t="s">
        <v>20</v>
      </c>
      <c r="E380" s="1" t="s">
        <v>33</v>
      </c>
      <c r="F380" s="1" t="s">
        <v>56</v>
      </c>
      <c r="G380">
        <v>9698</v>
      </c>
      <c r="H380">
        <v>4</v>
      </c>
      <c r="I380">
        <v>19396</v>
      </c>
      <c r="J380">
        <v>407316</v>
      </c>
      <c r="K380" s="1" t="s">
        <v>57</v>
      </c>
      <c r="L380" s="2">
        <v>0.72222222222222221</v>
      </c>
      <c r="M380" s="1" t="s">
        <v>24</v>
      </c>
      <c r="N380">
        <v>38792</v>
      </c>
      <c r="O380">
        <v>4761904762</v>
      </c>
      <c r="P380">
        <v>19396</v>
      </c>
      <c r="Q380">
        <v>94</v>
      </c>
    </row>
    <row r="381" spans="1:17" x14ac:dyDescent="0.25">
      <c r="A381" s="1" t="s">
        <v>504</v>
      </c>
      <c r="B381" s="1" t="s">
        <v>51</v>
      </c>
      <c r="C381" s="1" t="s">
        <v>52</v>
      </c>
      <c r="D381" s="1" t="s">
        <v>28</v>
      </c>
      <c r="E381" s="1" t="s">
        <v>21</v>
      </c>
      <c r="F381" s="1" t="s">
        <v>29</v>
      </c>
      <c r="G381">
        <v>2365</v>
      </c>
      <c r="H381">
        <v>4</v>
      </c>
      <c r="I381">
        <v>473</v>
      </c>
      <c r="J381">
        <v>9933</v>
      </c>
      <c r="K381" s="1" t="s">
        <v>274</v>
      </c>
      <c r="L381" s="2">
        <v>0.56388888888888888</v>
      </c>
      <c r="M381" s="1" t="s">
        <v>36</v>
      </c>
      <c r="N381">
        <v>946</v>
      </c>
      <c r="O381">
        <v>4761904762</v>
      </c>
      <c r="P381">
        <v>473</v>
      </c>
      <c r="Q381">
        <v>4</v>
      </c>
    </row>
    <row r="382" spans="1:17" x14ac:dyDescent="0.25">
      <c r="A382" s="1" t="s">
        <v>505</v>
      </c>
      <c r="B382" s="1" t="s">
        <v>18</v>
      </c>
      <c r="C382" s="1" t="s">
        <v>19</v>
      </c>
      <c r="D382" s="1" t="s">
        <v>20</v>
      </c>
      <c r="E382" s="1" t="s">
        <v>33</v>
      </c>
      <c r="F382" s="1" t="s">
        <v>40</v>
      </c>
      <c r="G382">
        <v>8233</v>
      </c>
      <c r="H382">
        <v>4</v>
      </c>
      <c r="I382">
        <v>16466</v>
      </c>
      <c r="J382">
        <v>345786</v>
      </c>
      <c r="K382" s="1" t="s">
        <v>345</v>
      </c>
      <c r="L382" s="2">
        <v>0.44236111111111109</v>
      </c>
      <c r="M382" s="1" t="s">
        <v>36</v>
      </c>
      <c r="N382">
        <v>32932</v>
      </c>
      <c r="O382">
        <v>4761904762</v>
      </c>
      <c r="P382">
        <v>16466</v>
      </c>
      <c r="Q382">
        <v>75</v>
      </c>
    </row>
    <row r="383" spans="1:17" x14ac:dyDescent="0.25">
      <c r="A383" s="1" t="s">
        <v>506</v>
      </c>
      <c r="B383" s="1" t="s">
        <v>26</v>
      </c>
      <c r="C383" s="1" t="s">
        <v>27</v>
      </c>
      <c r="D383" s="1" t="s">
        <v>28</v>
      </c>
      <c r="E383" s="1" t="s">
        <v>21</v>
      </c>
      <c r="F383" s="1" t="s">
        <v>29</v>
      </c>
      <c r="G383">
        <v>2661</v>
      </c>
      <c r="H383">
        <v>2</v>
      </c>
      <c r="I383">
        <v>2661</v>
      </c>
      <c r="J383">
        <v>55881</v>
      </c>
      <c r="K383" s="1" t="s">
        <v>121</v>
      </c>
      <c r="L383" s="2">
        <v>0.60763888888888884</v>
      </c>
      <c r="M383" s="1" t="s">
        <v>31</v>
      </c>
      <c r="N383">
        <v>5322</v>
      </c>
      <c r="O383">
        <v>4761904762</v>
      </c>
      <c r="P383">
        <v>2661</v>
      </c>
      <c r="Q383">
        <v>42</v>
      </c>
    </row>
    <row r="384" spans="1:17" x14ac:dyDescent="0.25">
      <c r="A384" s="1" t="s">
        <v>507</v>
      </c>
      <c r="B384" s="1" t="s">
        <v>51</v>
      </c>
      <c r="C384" s="1" t="s">
        <v>52</v>
      </c>
      <c r="D384" s="1" t="s">
        <v>28</v>
      </c>
      <c r="E384" s="1" t="s">
        <v>21</v>
      </c>
      <c r="F384" s="1" t="s">
        <v>53</v>
      </c>
      <c r="G384">
        <v>9969</v>
      </c>
      <c r="H384">
        <v>5</v>
      </c>
      <c r="I384">
        <v>249225</v>
      </c>
      <c r="J384">
        <v>5233725</v>
      </c>
      <c r="K384" s="1" t="s">
        <v>317</v>
      </c>
      <c r="L384" s="2">
        <v>0.50624999999999998</v>
      </c>
      <c r="M384" s="1" t="s">
        <v>31</v>
      </c>
      <c r="N384">
        <v>49845</v>
      </c>
      <c r="O384">
        <v>4761904762</v>
      </c>
      <c r="P384">
        <v>249225</v>
      </c>
      <c r="Q384">
        <v>99</v>
      </c>
    </row>
    <row r="385" spans="1:17" x14ac:dyDescent="0.25">
      <c r="A385" s="1" t="s">
        <v>508</v>
      </c>
      <c r="B385" s="1" t="s">
        <v>26</v>
      </c>
      <c r="C385" s="1" t="s">
        <v>27</v>
      </c>
      <c r="D385" s="1" t="s">
        <v>20</v>
      </c>
      <c r="E385" s="1" t="s">
        <v>21</v>
      </c>
      <c r="F385" s="1" t="s">
        <v>53</v>
      </c>
      <c r="G385">
        <v>7489</v>
      </c>
      <c r="H385">
        <v>4</v>
      </c>
      <c r="I385">
        <v>14978</v>
      </c>
      <c r="J385">
        <v>314538</v>
      </c>
      <c r="K385" s="1" t="s">
        <v>197</v>
      </c>
      <c r="L385" s="2">
        <v>0.64722222222222225</v>
      </c>
      <c r="M385" s="1" t="s">
        <v>24</v>
      </c>
      <c r="N385">
        <v>29956</v>
      </c>
      <c r="O385">
        <v>4761904762</v>
      </c>
      <c r="P385">
        <v>14978</v>
      </c>
      <c r="Q385">
        <v>42</v>
      </c>
    </row>
    <row r="386" spans="1:17" x14ac:dyDescent="0.25">
      <c r="A386" s="1" t="s">
        <v>509</v>
      </c>
      <c r="B386" s="1" t="s">
        <v>18</v>
      </c>
      <c r="C386" s="1" t="s">
        <v>19</v>
      </c>
      <c r="D386" s="1" t="s">
        <v>28</v>
      </c>
      <c r="E386" s="1" t="s">
        <v>21</v>
      </c>
      <c r="F386" s="1" t="s">
        <v>53</v>
      </c>
      <c r="G386">
        <v>4094</v>
      </c>
      <c r="H386">
        <v>5</v>
      </c>
      <c r="I386">
        <v>10235</v>
      </c>
      <c r="J386">
        <v>214935</v>
      </c>
      <c r="K386" s="1" t="s">
        <v>154</v>
      </c>
      <c r="L386" s="2">
        <v>0.58194444444444449</v>
      </c>
      <c r="M386" s="1" t="s">
        <v>24</v>
      </c>
      <c r="N386">
        <v>2047</v>
      </c>
      <c r="O386">
        <v>4761904762</v>
      </c>
      <c r="P386">
        <v>10235</v>
      </c>
      <c r="Q386">
        <v>99</v>
      </c>
    </row>
    <row r="387" spans="1:17" x14ac:dyDescent="0.25">
      <c r="A387" s="1" t="s">
        <v>510</v>
      </c>
      <c r="B387" s="1" t="s">
        <v>51</v>
      </c>
      <c r="C387" s="1" t="s">
        <v>52</v>
      </c>
      <c r="D387" s="1" t="s">
        <v>20</v>
      </c>
      <c r="E387" s="1" t="s">
        <v>33</v>
      </c>
      <c r="F387" s="1" t="s">
        <v>40</v>
      </c>
      <c r="G387">
        <v>7582</v>
      </c>
      <c r="H387">
        <v>1</v>
      </c>
      <c r="I387">
        <v>3791</v>
      </c>
      <c r="J387">
        <v>79611</v>
      </c>
      <c r="K387" s="1" t="s">
        <v>339</v>
      </c>
      <c r="L387" s="2">
        <v>0.55486111111111114</v>
      </c>
      <c r="M387" s="1" t="s">
        <v>31</v>
      </c>
      <c r="N387">
        <v>7582</v>
      </c>
      <c r="O387">
        <v>4761904762</v>
      </c>
      <c r="P387">
        <v>3791</v>
      </c>
      <c r="Q387">
        <v>58</v>
      </c>
    </row>
    <row r="388" spans="1:17" x14ac:dyDescent="0.25">
      <c r="A388" s="1" t="s">
        <v>511</v>
      </c>
      <c r="B388" s="1" t="s">
        <v>26</v>
      </c>
      <c r="C388" s="1" t="s">
        <v>27</v>
      </c>
      <c r="D388" s="1" t="s">
        <v>28</v>
      </c>
      <c r="E388" s="1" t="s">
        <v>33</v>
      </c>
      <c r="F388" s="1" t="s">
        <v>53</v>
      </c>
      <c r="G388">
        <v>4677</v>
      </c>
      <c r="H388">
        <v>6</v>
      </c>
      <c r="I388">
        <v>14031</v>
      </c>
      <c r="J388">
        <v>294651</v>
      </c>
      <c r="K388" s="1" t="s">
        <v>69</v>
      </c>
      <c r="L388" s="2">
        <v>0.56736111111111109</v>
      </c>
      <c r="M388" s="1" t="s">
        <v>31</v>
      </c>
      <c r="N388">
        <v>28062</v>
      </c>
      <c r="O388">
        <v>4761904762</v>
      </c>
      <c r="P388">
        <v>14031</v>
      </c>
      <c r="Q388">
        <v>6</v>
      </c>
    </row>
    <row r="389" spans="1:17" x14ac:dyDescent="0.25">
      <c r="A389" s="1" t="s">
        <v>512</v>
      </c>
      <c r="B389" s="1" t="s">
        <v>18</v>
      </c>
      <c r="C389" s="1" t="s">
        <v>19</v>
      </c>
      <c r="D389" s="1" t="s">
        <v>28</v>
      </c>
      <c r="E389" s="1" t="s">
        <v>21</v>
      </c>
      <c r="F389" s="1" t="s">
        <v>22</v>
      </c>
      <c r="G389">
        <v>3232</v>
      </c>
      <c r="H389">
        <v>10</v>
      </c>
      <c r="I389">
        <v>1616</v>
      </c>
      <c r="J389">
        <v>33936</v>
      </c>
      <c r="K389" s="1" t="s">
        <v>54</v>
      </c>
      <c r="L389" s="2">
        <v>0.7006944444444444</v>
      </c>
      <c r="M389" s="1" t="s">
        <v>36</v>
      </c>
      <c r="N389">
        <v>3232</v>
      </c>
      <c r="O389">
        <v>4761904762</v>
      </c>
      <c r="P389">
        <v>1616</v>
      </c>
      <c r="Q389">
        <v>10</v>
      </c>
    </row>
    <row r="390" spans="1:17" x14ac:dyDescent="0.25">
      <c r="A390" s="1" t="s">
        <v>513</v>
      </c>
      <c r="B390" s="1" t="s">
        <v>26</v>
      </c>
      <c r="C390" s="1" t="s">
        <v>27</v>
      </c>
      <c r="D390" s="1" t="s">
        <v>20</v>
      </c>
      <c r="E390" s="1" t="s">
        <v>21</v>
      </c>
      <c r="F390" s="1" t="s">
        <v>56</v>
      </c>
      <c r="G390">
        <v>5407</v>
      </c>
      <c r="H390">
        <v>9</v>
      </c>
      <c r="I390">
        <v>243315</v>
      </c>
      <c r="J390">
        <v>5109615</v>
      </c>
      <c r="K390" s="1" t="s">
        <v>38</v>
      </c>
      <c r="L390" s="2">
        <v>0.62152777777777779</v>
      </c>
      <c r="M390" s="1" t="s">
        <v>24</v>
      </c>
      <c r="N390">
        <v>48663</v>
      </c>
      <c r="O390">
        <v>4761904762</v>
      </c>
      <c r="P390">
        <v>243315</v>
      </c>
      <c r="Q390">
        <v>95</v>
      </c>
    </row>
    <row r="391" spans="1:17" x14ac:dyDescent="0.25">
      <c r="A391" s="1" t="s">
        <v>514</v>
      </c>
      <c r="B391" s="1" t="s">
        <v>51</v>
      </c>
      <c r="C391" s="1" t="s">
        <v>52</v>
      </c>
      <c r="D391" s="1" t="s">
        <v>28</v>
      </c>
      <c r="E391" s="1" t="s">
        <v>33</v>
      </c>
      <c r="F391" s="1" t="s">
        <v>53</v>
      </c>
      <c r="G391">
        <v>1822</v>
      </c>
      <c r="H391">
        <v>7</v>
      </c>
      <c r="I391">
        <v>6377</v>
      </c>
      <c r="J391">
        <v>133917</v>
      </c>
      <c r="K391" s="1" t="s">
        <v>88</v>
      </c>
      <c r="L391" s="2">
        <v>0.58611111111111114</v>
      </c>
      <c r="M391" s="1" t="s">
        <v>36</v>
      </c>
      <c r="N391">
        <v>12754</v>
      </c>
      <c r="O391">
        <v>4761904762</v>
      </c>
      <c r="P391">
        <v>6377</v>
      </c>
      <c r="Q391">
        <v>66</v>
      </c>
    </row>
    <row r="392" spans="1:17" x14ac:dyDescent="0.25">
      <c r="A392" s="1" t="s">
        <v>515</v>
      </c>
      <c r="B392" s="1" t="s">
        <v>26</v>
      </c>
      <c r="C392" s="1" t="s">
        <v>27</v>
      </c>
      <c r="D392" s="1" t="s">
        <v>20</v>
      </c>
      <c r="E392" s="1" t="s">
        <v>21</v>
      </c>
      <c r="F392" s="1" t="s">
        <v>56</v>
      </c>
      <c r="G392">
        <v>8048</v>
      </c>
      <c r="H392">
        <v>3</v>
      </c>
      <c r="I392">
        <v>12072</v>
      </c>
      <c r="J392">
        <v>253512</v>
      </c>
      <c r="K392" s="1" t="s">
        <v>139</v>
      </c>
      <c r="L392" s="2">
        <v>0.52152777777777781</v>
      </c>
      <c r="M392" s="1" t="s">
        <v>31</v>
      </c>
      <c r="N392">
        <v>24144</v>
      </c>
      <c r="O392">
        <v>4761904762</v>
      </c>
      <c r="P392">
        <v>12072</v>
      </c>
      <c r="Q392">
        <v>81</v>
      </c>
    </row>
    <row r="393" spans="1:17" x14ac:dyDescent="0.25">
      <c r="A393" s="1" t="s">
        <v>516</v>
      </c>
      <c r="B393" s="1" t="s">
        <v>51</v>
      </c>
      <c r="C393" s="1" t="s">
        <v>52</v>
      </c>
      <c r="D393" s="1" t="s">
        <v>28</v>
      </c>
      <c r="E393" s="1" t="s">
        <v>21</v>
      </c>
      <c r="F393" s="1" t="s">
        <v>56</v>
      </c>
      <c r="G393">
        <v>3795</v>
      </c>
      <c r="H393">
        <v>10</v>
      </c>
      <c r="I393">
        <v>18975</v>
      </c>
      <c r="J393">
        <v>398475</v>
      </c>
      <c r="K393" s="1" t="s">
        <v>171</v>
      </c>
      <c r="L393" s="2">
        <v>0.61875000000000002</v>
      </c>
      <c r="M393" s="1" t="s">
        <v>31</v>
      </c>
      <c r="N393">
        <v>3795</v>
      </c>
      <c r="O393">
        <v>4761904762</v>
      </c>
      <c r="P393">
        <v>18975</v>
      </c>
      <c r="Q393">
        <v>97</v>
      </c>
    </row>
    <row r="394" spans="1:17" x14ac:dyDescent="0.25">
      <c r="A394" s="1" t="s">
        <v>517</v>
      </c>
      <c r="B394" s="1" t="s">
        <v>18</v>
      </c>
      <c r="C394" s="1" t="s">
        <v>19</v>
      </c>
      <c r="D394" s="1" t="s">
        <v>20</v>
      </c>
      <c r="E394" s="1" t="s">
        <v>33</v>
      </c>
      <c r="F394" s="1" t="s">
        <v>29</v>
      </c>
      <c r="G394">
        <v>7682</v>
      </c>
      <c r="H394">
        <v>1</v>
      </c>
      <c r="I394">
        <v>3841</v>
      </c>
      <c r="J394">
        <v>80661</v>
      </c>
      <c r="K394" s="1" t="s">
        <v>291</v>
      </c>
      <c r="L394" s="2">
        <v>0.76875000000000004</v>
      </c>
      <c r="M394" s="1" t="s">
        <v>24</v>
      </c>
      <c r="N394">
        <v>7682</v>
      </c>
      <c r="O394">
        <v>4761904762</v>
      </c>
      <c r="P394">
        <v>3841</v>
      </c>
      <c r="Q394">
        <v>72</v>
      </c>
    </row>
    <row r="395" spans="1:17" x14ac:dyDescent="0.25">
      <c r="A395" s="1" t="s">
        <v>518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40</v>
      </c>
      <c r="G395">
        <v>5226</v>
      </c>
      <c r="H395">
        <v>10</v>
      </c>
      <c r="I395">
        <v>2613</v>
      </c>
      <c r="J395">
        <v>54873</v>
      </c>
      <c r="K395" s="1" t="s">
        <v>59</v>
      </c>
      <c r="L395" s="2">
        <v>0.53125</v>
      </c>
      <c r="M395" s="1" t="s">
        <v>36</v>
      </c>
      <c r="N395">
        <v>5226</v>
      </c>
      <c r="O395">
        <v>4761904762</v>
      </c>
      <c r="P395">
        <v>2613</v>
      </c>
      <c r="Q395">
        <v>62</v>
      </c>
    </row>
    <row r="396" spans="1:17" x14ac:dyDescent="0.25">
      <c r="A396" s="1" t="s">
        <v>519</v>
      </c>
      <c r="B396" s="1" t="s">
        <v>18</v>
      </c>
      <c r="C396" s="1" t="s">
        <v>19</v>
      </c>
      <c r="D396" s="1" t="s">
        <v>28</v>
      </c>
      <c r="E396" s="1" t="s">
        <v>21</v>
      </c>
      <c r="F396" s="1" t="s">
        <v>22</v>
      </c>
      <c r="G396">
        <v>7974</v>
      </c>
      <c r="H396">
        <v>1</v>
      </c>
      <c r="I396">
        <v>3987</v>
      </c>
      <c r="J396">
        <v>83727</v>
      </c>
      <c r="K396" s="1" t="s">
        <v>143</v>
      </c>
      <c r="L396" s="2">
        <v>0.44166666666666665</v>
      </c>
      <c r="M396" s="1" t="s">
        <v>24</v>
      </c>
      <c r="N396">
        <v>7974</v>
      </c>
      <c r="O396">
        <v>4761904762</v>
      </c>
      <c r="P396">
        <v>3987</v>
      </c>
      <c r="Q396">
        <v>73</v>
      </c>
    </row>
    <row r="397" spans="1:17" x14ac:dyDescent="0.25">
      <c r="A397" s="1" t="s">
        <v>520</v>
      </c>
      <c r="B397" s="1" t="s">
        <v>18</v>
      </c>
      <c r="C397" s="1" t="s">
        <v>19</v>
      </c>
      <c r="D397" s="1" t="s">
        <v>28</v>
      </c>
      <c r="E397" s="1" t="s">
        <v>21</v>
      </c>
      <c r="F397" s="1" t="s">
        <v>22</v>
      </c>
      <c r="G397">
        <v>775</v>
      </c>
      <c r="H397">
        <v>5</v>
      </c>
      <c r="I397">
        <v>19375</v>
      </c>
      <c r="J397">
        <v>406875</v>
      </c>
      <c r="K397" s="1" t="s">
        <v>151</v>
      </c>
      <c r="L397" s="2">
        <v>0.85833333333333328</v>
      </c>
      <c r="M397" s="1" t="s">
        <v>24</v>
      </c>
      <c r="N397">
        <v>3875</v>
      </c>
      <c r="O397">
        <v>4761904762</v>
      </c>
      <c r="P397">
        <v>19375</v>
      </c>
      <c r="Q397">
        <v>43</v>
      </c>
    </row>
    <row r="398" spans="1:17" x14ac:dyDescent="0.25">
      <c r="A398" s="1" t="s">
        <v>521</v>
      </c>
      <c r="B398" s="1" t="s">
        <v>18</v>
      </c>
      <c r="C398" s="1" t="s">
        <v>19</v>
      </c>
      <c r="D398" s="1" t="s">
        <v>28</v>
      </c>
      <c r="E398" s="1" t="s">
        <v>21</v>
      </c>
      <c r="F398" s="1" t="s">
        <v>53</v>
      </c>
      <c r="G398">
        <v>5427</v>
      </c>
      <c r="H398">
        <v>5</v>
      </c>
      <c r="I398">
        <v>135675</v>
      </c>
      <c r="J398">
        <v>2849175</v>
      </c>
      <c r="K398" s="1" t="s">
        <v>147</v>
      </c>
      <c r="L398" s="2">
        <v>0.59444444444444444</v>
      </c>
      <c r="M398" s="1" t="s">
        <v>24</v>
      </c>
      <c r="N398">
        <v>27135</v>
      </c>
      <c r="O398">
        <v>4761904762</v>
      </c>
      <c r="P398">
        <v>135675</v>
      </c>
      <c r="Q398">
        <v>46</v>
      </c>
    </row>
    <row r="399" spans="1:17" x14ac:dyDescent="0.25">
      <c r="A399" s="1" t="s">
        <v>522</v>
      </c>
      <c r="B399" s="1" t="s">
        <v>51</v>
      </c>
      <c r="C399" s="1" t="s">
        <v>52</v>
      </c>
      <c r="D399" s="1" t="s">
        <v>28</v>
      </c>
      <c r="E399" s="1" t="s">
        <v>33</v>
      </c>
      <c r="F399" s="1" t="s">
        <v>34</v>
      </c>
      <c r="G399">
        <v>1359</v>
      </c>
      <c r="H399">
        <v>9</v>
      </c>
      <c r="I399">
        <v>61155</v>
      </c>
      <c r="J399">
        <v>1284255</v>
      </c>
      <c r="K399" s="1" t="s">
        <v>79</v>
      </c>
      <c r="L399" s="2">
        <v>0.43472222222222223</v>
      </c>
      <c r="M399" s="1" t="s">
        <v>31</v>
      </c>
      <c r="N399">
        <v>12231</v>
      </c>
      <c r="O399">
        <v>4761904762</v>
      </c>
      <c r="P399">
        <v>61155</v>
      </c>
      <c r="Q399">
        <v>58</v>
      </c>
    </row>
    <row r="400" spans="1:17" x14ac:dyDescent="0.25">
      <c r="A400" s="1" t="s">
        <v>523</v>
      </c>
      <c r="B400" s="1" t="s">
        <v>51</v>
      </c>
      <c r="C400" s="1" t="s">
        <v>52</v>
      </c>
      <c r="D400" s="1" t="s">
        <v>20</v>
      </c>
      <c r="E400" s="1" t="s">
        <v>21</v>
      </c>
      <c r="F400" s="1" t="s">
        <v>22</v>
      </c>
      <c r="G400">
        <v>4106</v>
      </c>
      <c r="H400">
        <v>6</v>
      </c>
      <c r="I400">
        <v>12318</v>
      </c>
      <c r="J400">
        <v>258678</v>
      </c>
      <c r="K400" s="1" t="s">
        <v>77</v>
      </c>
      <c r="L400" s="2">
        <v>0.5625</v>
      </c>
      <c r="M400" s="1" t="s">
        <v>36</v>
      </c>
      <c r="N400">
        <v>24636</v>
      </c>
      <c r="O400">
        <v>4761904762</v>
      </c>
      <c r="P400">
        <v>12318</v>
      </c>
      <c r="Q400">
        <v>83</v>
      </c>
    </row>
    <row r="401" spans="1:17" x14ac:dyDescent="0.25">
      <c r="A401" s="1" t="s">
        <v>524</v>
      </c>
      <c r="B401" s="1" t="s">
        <v>51</v>
      </c>
      <c r="C401" s="1" t="s">
        <v>52</v>
      </c>
      <c r="D401" s="1" t="s">
        <v>20</v>
      </c>
      <c r="E401" s="1" t="s">
        <v>33</v>
      </c>
      <c r="F401" s="1" t="s">
        <v>29</v>
      </c>
      <c r="G401">
        <v>1924</v>
      </c>
      <c r="H401">
        <v>9</v>
      </c>
      <c r="I401">
        <v>8658</v>
      </c>
      <c r="J401">
        <v>181818</v>
      </c>
      <c r="K401" s="1" t="s">
        <v>111</v>
      </c>
      <c r="L401" s="2">
        <v>0.68611111111111112</v>
      </c>
      <c r="M401" s="1" t="s">
        <v>31</v>
      </c>
      <c r="N401">
        <v>17316</v>
      </c>
      <c r="O401">
        <v>4761904762</v>
      </c>
      <c r="P401">
        <v>8658</v>
      </c>
      <c r="Q401">
        <v>8</v>
      </c>
    </row>
    <row r="402" spans="1:17" x14ac:dyDescent="0.25">
      <c r="A402" s="1" t="s">
        <v>525</v>
      </c>
      <c r="B402" s="1" t="s">
        <v>26</v>
      </c>
      <c r="C402" s="1" t="s">
        <v>27</v>
      </c>
      <c r="D402" s="1" t="s">
        <v>28</v>
      </c>
      <c r="E402" s="1" t="s">
        <v>21</v>
      </c>
      <c r="F402" s="1" t="s">
        <v>53</v>
      </c>
      <c r="G402">
        <v>3943</v>
      </c>
      <c r="H402">
        <v>6</v>
      </c>
      <c r="I402">
        <v>11829</v>
      </c>
      <c r="J402">
        <v>248409</v>
      </c>
      <c r="K402" s="1" t="s">
        <v>43</v>
      </c>
      <c r="L402" s="2">
        <v>0.84583333333333333</v>
      </c>
      <c r="M402" s="1" t="s">
        <v>36</v>
      </c>
      <c r="N402">
        <v>23658</v>
      </c>
      <c r="O402">
        <v>4761904762</v>
      </c>
      <c r="P402">
        <v>11829</v>
      </c>
      <c r="Q402">
        <v>94</v>
      </c>
    </row>
    <row r="403" spans="1:17" x14ac:dyDescent="0.25">
      <c r="A403" s="1" t="s">
        <v>526</v>
      </c>
      <c r="B403" s="1" t="s">
        <v>26</v>
      </c>
      <c r="C403" s="1" t="s">
        <v>27</v>
      </c>
      <c r="D403" s="1" t="s">
        <v>28</v>
      </c>
      <c r="E403" s="1" t="s">
        <v>33</v>
      </c>
      <c r="F403" s="1" t="s">
        <v>34</v>
      </c>
      <c r="G403">
        <v>4622</v>
      </c>
      <c r="H403">
        <v>4</v>
      </c>
      <c r="I403">
        <v>9244</v>
      </c>
      <c r="J403">
        <v>194124</v>
      </c>
      <c r="K403" s="1" t="s">
        <v>137</v>
      </c>
      <c r="L403" s="2">
        <v>0.83611111111111114</v>
      </c>
      <c r="M403" s="1" t="s">
        <v>36</v>
      </c>
      <c r="N403">
        <v>18488</v>
      </c>
      <c r="O403">
        <v>4761904762</v>
      </c>
      <c r="P403">
        <v>9244</v>
      </c>
      <c r="Q403">
        <v>62</v>
      </c>
    </row>
    <row r="404" spans="1:17" x14ac:dyDescent="0.25">
      <c r="A404" s="1" t="s">
        <v>527</v>
      </c>
      <c r="B404" s="1" t="s">
        <v>26</v>
      </c>
      <c r="C404" s="1" t="s">
        <v>27</v>
      </c>
      <c r="D404" s="1" t="s">
        <v>20</v>
      </c>
      <c r="E404" s="1" t="s">
        <v>33</v>
      </c>
      <c r="F404" s="1" t="s">
        <v>34</v>
      </c>
      <c r="G404">
        <v>1398</v>
      </c>
      <c r="H404">
        <v>1</v>
      </c>
      <c r="I404">
        <v>699</v>
      </c>
      <c r="J404">
        <v>14679</v>
      </c>
      <c r="K404" s="1" t="s">
        <v>470</v>
      </c>
      <c r="L404" s="2">
        <v>0.56805555555555554</v>
      </c>
      <c r="M404" s="1" t="s">
        <v>24</v>
      </c>
      <c r="N404">
        <v>1398</v>
      </c>
      <c r="O404">
        <v>4761904762</v>
      </c>
      <c r="P404">
        <v>699</v>
      </c>
      <c r="Q404">
        <v>98</v>
      </c>
    </row>
    <row r="405" spans="1:17" x14ac:dyDescent="0.25">
      <c r="A405" s="1" t="s">
        <v>528</v>
      </c>
      <c r="B405" s="1" t="s">
        <v>51</v>
      </c>
      <c r="C405" s="1" t="s">
        <v>52</v>
      </c>
      <c r="D405" s="1" t="s">
        <v>28</v>
      </c>
      <c r="E405" s="1" t="s">
        <v>21</v>
      </c>
      <c r="F405" s="1" t="s">
        <v>56</v>
      </c>
      <c r="G405">
        <v>3975</v>
      </c>
      <c r="H405">
        <v>5</v>
      </c>
      <c r="I405">
        <v>99375</v>
      </c>
      <c r="J405">
        <v>2086875</v>
      </c>
      <c r="K405" s="1" t="s">
        <v>250</v>
      </c>
      <c r="L405" s="2">
        <v>0.4465277777777778</v>
      </c>
      <c r="M405" s="1" t="s">
        <v>24</v>
      </c>
      <c r="N405">
        <v>19875</v>
      </c>
      <c r="O405">
        <v>4761904762</v>
      </c>
      <c r="P405">
        <v>99375</v>
      </c>
      <c r="Q405">
        <v>96</v>
      </c>
    </row>
    <row r="406" spans="1:17" x14ac:dyDescent="0.25">
      <c r="A406" s="1" t="s">
        <v>529</v>
      </c>
      <c r="B406" s="1" t="s">
        <v>26</v>
      </c>
      <c r="C406" s="1" t="s">
        <v>27</v>
      </c>
      <c r="D406" s="1" t="s">
        <v>20</v>
      </c>
      <c r="E406" s="1" t="s">
        <v>21</v>
      </c>
      <c r="F406" s="1" t="s">
        <v>56</v>
      </c>
      <c r="G406">
        <v>9779</v>
      </c>
      <c r="H406">
        <v>7</v>
      </c>
      <c r="I406">
        <v>342265</v>
      </c>
      <c r="J406">
        <v>7187565</v>
      </c>
      <c r="K406" s="1" t="s">
        <v>244</v>
      </c>
      <c r="L406" s="2">
        <v>0.72916666666666663</v>
      </c>
      <c r="M406" s="1" t="s">
        <v>24</v>
      </c>
      <c r="N406">
        <v>68453</v>
      </c>
      <c r="O406">
        <v>4761904762</v>
      </c>
      <c r="P406">
        <v>342265</v>
      </c>
      <c r="Q406">
        <v>49</v>
      </c>
    </row>
    <row r="407" spans="1:17" x14ac:dyDescent="0.25">
      <c r="A407" s="1" t="s">
        <v>530</v>
      </c>
      <c r="B407" s="1" t="s">
        <v>18</v>
      </c>
      <c r="C407" s="1" t="s">
        <v>19</v>
      </c>
      <c r="D407" s="1" t="s">
        <v>20</v>
      </c>
      <c r="E407" s="1" t="s">
        <v>33</v>
      </c>
      <c r="F407" s="1" t="s">
        <v>40</v>
      </c>
      <c r="G407">
        <v>6726</v>
      </c>
      <c r="H407">
        <v>4</v>
      </c>
      <c r="I407">
        <v>13452</v>
      </c>
      <c r="J407">
        <v>282492</v>
      </c>
      <c r="K407" s="1" t="s">
        <v>214</v>
      </c>
      <c r="L407" s="2">
        <v>0.64444444444444449</v>
      </c>
      <c r="M407" s="1" t="s">
        <v>36</v>
      </c>
      <c r="N407">
        <v>26904</v>
      </c>
      <c r="O407">
        <v>4761904762</v>
      </c>
      <c r="P407">
        <v>13452</v>
      </c>
      <c r="Q407">
        <v>8</v>
      </c>
    </row>
    <row r="408" spans="1:17" x14ac:dyDescent="0.25">
      <c r="A408" s="1" t="s">
        <v>531</v>
      </c>
      <c r="B408" s="1" t="s">
        <v>18</v>
      </c>
      <c r="C408" s="1" t="s">
        <v>19</v>
      </c>
      <c r="D408" s="1" t="s">
        <v>28</v>
      </c>
      <c r="E408" s="1" t="s">
        <v>33</v>
      </c>
      <c r="F408" s="1" t="s">
        <v>53</v>
      </c>
      <c r="G408">
        <v>1379</v>
      </c>
      <c r="H408">
        <v>5</v>
      </c>
      <c r="I408">
        <v>34475</v>
      </c>
      <c r="J408">
        <v>723975</v>
      </c>
      <c r="K408" s="1" t="s">
        <v>345</v>
      </c>
      <c r="L408" s="2">
        <v>0.79652777777777772</v>
      </c>
      <c r="M408" s="1" t="s">
        <v>36</v>
      </c>
      <c r="N408">
        <v>6895</v>
      </c>
      <c r="O408">
        <v>4761904762</v>
      </c>
      <c r="P408">
        <v>34475</v>
      </c>
      <c r="Q408">
        <v>78</v>
      </c>
    </row>
    <row r="409" spans="1:17" x14ac:dyDescent="0.25">
      <c r="A409" s="1" t="s">
        <v>532</v>
      </c>
      <c r="B409" s="1" t="s">
        <v>51</v>
      </c>
      <c r="C409" s="1" t="s">
        <v>52</v>
      </c>
      <c r="D409" s="1" t="s">
        <v>20</v>
      </c>
      <c r="E409" s="1" t="s">
        <v>21</v>
      </c>
      <c r="F409" s="1" t="s">
        <v>56</v>
      </c>
      <c r="G409">
        <v>6871</v>
      </c>
      <c r="H409">
        <v>4</v>
      </c>
      <c r="I409">
        <v>13742</v>
      </c>
      <c r="J409">
        <v>288582</v>
      </c>
      <c r="K409" s="1" t="s">
        <v>265</v>
      </c>
      <c r="L409" s="2">
        <v>0.79236111111111107</v>
      </c>
      <c r="M409" s="1" t="s">
        <v>31</v>
      </c>
      <c r="N409">
        <v>27484</v>
      </c>
      <c r="O409">
        <v>4761904762</v>
      </c>
      <c r="P409">
        <v>13742</v>
      </c>
      <c r="Q409">
        <v>41</v>
      </c>
    </row>
    <row r="410" spans="1:17" x14ac:dyDescent="0.25">
      <c r="A410" s="1" t="s">
        <v>533</v>
      </c>
      <c r="B410" s="1" t="s">
        <v>18</v>
      </c>
      <c r="C410" s="1" t="s">
        <v>19</v>
      </c>
      <c r="D410" s="1" t="s">
        <v>28</v>
      </c>
      <c r="E410" s="1" t="s">
        <v>21</v>
      </c>
      <c r="F410" s="1" t="s">
        <v>34</v>
      </c>
      <c r="G410">
        <v>5653</v>
      </c>
      <c r="H410">
        <v>4</v>
      </c>
      <c r="I410">
        <v>11306</v>
      </c>
      <c r="J410">
        <v>237426</v>
      </c>
      <c r="K410" s="1" t="s">
        <v>111</v>
      </c>
      <c r="L410" s="2">
        <v>0.82499999999999996</v>
      </c>
      <c r="M410" s="1" t="s">
        <v>24</v>
      </c>
      <c r="N410">
        <v>22612</v>
      </c>
      <c r="O410">
        <v>4761904762</v>
      </c>
      <c r="P410">
        <v>11306</v>
      </c>
      <c r="Q410">
        <v>55</v>
      </c>
    </row>
    <row r="411" spans="1:17" x14ac:dyDescent="0.25">
      <c r="A411" s="1" t="s">
        <v>534</v>
      </c>
      <c r="B411" s="1" t="s">
        <v>26</v>
      </c>
      <c r="C411" s="1" t="s">
        <v>27</v>
      </c>
      <c r="D411" s="1" t="s">
        <v>28</v>
      </c>
      <c r="E411" s="1" t="s">
        <v>21</v>
      </c>
      <c r="F411" s="1" t="s">
        <v>56</v>
      </c>
      <c r="G411">
        <v>2382</v>
      </c>
      <c r="H411">
        <v>5</v>
      </c>
      <c r="I411">
        <v>5955</v>
      </c>
      <c r="J411">
        <v>125055</v>
      </c>
      <c r="K411" s="1" t="s">
        <v>94</v>
      </c>
      <c r="L411" s="2">
        <v>0.80833333333333335</v>
      </c>
      <c r="M411" s="1" t="s">
        <v>24</v>
      </c>
      <c r="N411">
        <v>1191</v>
      </c>
      <c r="O411">
        <v>4761904762</v>
      </c>
      <c r="P411">
        <v>5955</v>
      </c>
      <c r="Q411">
        <v>54</v>
      </c>
    </row>
    <row r="412" spans="1:17" x14ac:dyDescent="0.25">
      <c r="A412" s="1" t="s">
        <v>535</v>
      </c>
      <c r="B412" s="1" t="s">
        <v>51</v>
      </c>
      <c r="C412" s="1" t="s">
        <v>52</v>
      </c>
      <c r="D412" s="1" t="s">
        <v>28</v>
      </c>
      <c r="E412" s="1" t="s">
        <v>21</v>
      </c>
      <c r="F412" s="1" t="s">
        <v>22</v>
      </c>
      <c r="G412">
        <v>3421</v>
      </c>
      <c r="H412">
        <v>10</v>
      </c>
      <c r="I412">
        <v>17105</v>
      </c>
      <c r="J412">
        <v>359205</v>
      </c>
      <c r="K412" s="1" t="s">
        <v>181</v>
      </c>
      <c r="L412" s="2">
        <v>0.54166666666666663</v>
      </c>
      <c r="M412" s="1" t="s">
        <v>31</v>
      </c>
      <c r="N412">
        <v>3421</v>
      </c>
      <c r="O412">
        <v>4761904762</v>
      </c>
      <c r="P412">
        <v>17105</v>
      </c>
      <c r="Q412">
        <v>51</v>
      </c>
    </row>
    <row r="413" spans="1:17" x14ac:dyDescent="0.25">
      <c r="A413" s="1" t="s">
        <v>536</v>
      </c>
      <c r="B413" s="1" t="s">
        <v>51</v>
      </c>
      <c r="C413" s="1" t="s">
        <v>52</v>
      </c>
      <c r="D413" s="1" t="s">
        <v>28</v>
      </c>
      <c r="E413" s="1" t="s">
        <v>33</v>
      </c>
      <c r="F413" s="1" t="s">
        <v>40</v>
      </c>
      <c r="G413">
        <v>2187</v>
      </c>
      <c r="H413">
        <v>2</v>
      </c>
      <c r="I413">
        <v>2187</v>
      </c>
      <c r="J413">
        <v>45927</v>
      </c>
      <c r="K413" s="1" t="s">
        <v>90</v>
      </c>
      <c r="L413" s="2">
        <v>0.60347222222222219</v>
      </c>
      <c r="M413" s="1" t="s">
        <v>24</v>
      </c>
      <c r="N413">
        <v>4374</v>
      </c>
      <c r="O413">
        <v>4761904762</v>
      </c>
      <c r="P413">
        <v>2187</v>
      </c>
      <c r="Q413">
        <v>69</v>
      </c>
    </row>
    <row r="414" spans="1:17" x14ac:dyDescent="0.25">
      <c r="A414" s="1" t="s">
        <v>537</v>
      </c>
      <c r="B414" s="1" t="s">
        <v>18</v>
      </c>
      <c r="C414" s="1" t="s">
        <v>19</v>
      </c>
      <c r="D414" s="1" t="s">
        <v>20</v>
      </c>
      <c r="E414" s="1" t="s">
        <v>33</v>
      </c>
      <c r="F414" s="1" t="s">
        <v>22</v>
      </c>
      <c r="G414">
        <v>2097</v>
      </c>
      <c r="H414">
        <v>5</v>
      </c>
      <c r="I414">
        <v>52425</v>
      </c>
      <c r="J414">
        <v>1100925</v>
      </c>
      <c r="K414" s="1" t="s">
        <v>265</v>
      </c>
      <c r="L414" s="2">
        <v>0.55625000000000002</v>
      </c>
      <c r="M414" s="1" t="s">
        <v>31</v>
      </c>
      <c r="N414">
        <v>10485</v>
      </c>
      <c r="O414">
        <v>4761904762</v>
      </c>
      <c r="P414">
        <v>52425</v>
      </c>
      <c r="Q414">
        <v>78</v>
      </c>
    </row>
    <row r="415" spans="1:17" x14ac:dyDescent="0.25">
      <c r="A415" s="1" t="s">
        <v>538</v>
      </c>
      <c r="B415" s="1" t="s">
        <v>18</v>
      </c>
      <c r="C415" s="1" t="s">
        <v>19</v>
      </c>
      <c r="D415" s="1" t="s">
        <v>28</v>
      </c>
      <c r="E415" s="1" t="s">
        <v>33</v>
      </c>
      <c r="F415" s="1" t="s">
        <v>40</v>
      </c>
      <c r="G415">
        <v>2584</v>
      </c>
      <c r="H415">
        <v>3</v>
      </c>
      <c r="I415">
        <v>3876</v>
      </c>
      <c r="J415">
        <v>81396</v>
      </c>
      <c r="K415" s="1" t="s">
        <v>88</v>
      </c>
      <c r="L415" s="2">
        <v>0.78819444444444442</v>
      </c>
      <c r="M415" s="1" t="s">
        <v>24</v>
      </c>
      <c r="N415">
        <v>7752</v>
      </c>
      <c r="O415">
        <v>4761904762</v>
      </c>
      <c r="P415">
        <v>3876</v>
      </c>
      <c r="Q415">
        <v>66</v>
      </c>
    </row>
    <row r="416" spans="1:17" x14ac:dyDescent="0.25">
      <c r="A416" s="1" t="s">
        <v>539</v>
      </c>
      <c r="B416" s="1" t="s">
        <v>18</v>
      </c>
      <c r="C416" s="1" t="s">
        <v>19</v>
      </c>
      <c r="D416" s="1" t="s">
        <v>28</v>
      </c>
      <c r="E416" s="1" t="s">
        <v>33</v>
      </c>
      <c r="F416" s="1" t="s">
        <v>34</v>
      </c>
      <c r="G416">
        <v>5093</v>
      </c>
      <c r="H416">
        <v>8</v>
      </c>
      <c r="I416">
        <v>20372</v>
      </c>
      <c r="J416">
        <v>427812</v>
      </c>
      <c r="K416" s="1" t="s">
        <v>85</v>
      </c>
      <c r="L416" s="2">
        <v>0.81666666666666665</v>
      </c>
      <c r="M416" s="1" t="s">
        <v>24</v>
      </c>
      <c r="N416">
        <v>40744</v>
      </c>
      <c r="O416">
        <v>4761904762</v>
      </c>
      <c r="P416">
        <v>20372</v>
      </c>
      <c r="Q416">
        <v>92</v>
      </c>
    </row>
    <row r="417" spans="1:17" x14ac:dyDescent="0.25">
      <c r="A417" s="1" t="s">
        <v>540</v>
      </c>
      <c r="B417" s="1" t="s">
        <v>51</v>
      </c>
      <c r="C417" s="1" t="s">
        <v>52</v>
      </c>
      <c r="D417" s="1" t="s">
        <v>28</v>
      </c>
      <c r="E417" s="1" t="s">
        <v>33</v>
      </c>
      <c r="F417" s="1" t="s">
        <v>22</v>
      </c>
      <c r="G417">
        <v>9611</v>
      </c>
      <c r="H417">
        <v>1</v>
      </c>
      <c r="I417">
        <v>48055</v>
      </c>
      <c r="J417">
        <v>1009155</v>
      </c>
      <c r="K417" s="1" t="s">
        <v>90</v>
      </c>
      <c r="L417" s="2">
        <v>0.68611111111111112</v>
      </c>
      <c r="M417" s="1" t="s">
        <v>24</v>
      </c>
      <c r="N417">
        <v>9611</v>
      </c>
      <c r="O417">
        <v>4761904762</v>
      </c>
      <c r="P417">
        <v>48055</v>
      </c>
      <c r="Q417">
        <v>78</v>
      </c>
    </row>
    <row r="418" spans="1:17" x14ac:dyDescent="0.25">
      <c r="A418" s="1" t="s">
        <v>541</v>
      </c>
      <c r="B418" s="1" t="s">
        <v>26</v>
      </c>
      <c r="C418" s="1" t="s">
        <v>27</v>
      </c>
      <c r="D418" s="1" t="s">
        <v>28</v>
      </c>
      <c r="E418" s="1" t="s">
        <v>21</v>
      </c>
      <c r="F418" s="1" t="s">
        <v>34</v>
      </c>
      <c r="G418">
        <v>4538</v>
      </c>
      <c r="H418">
        <v>4</v>
      </c>
      <c r="I418">
        <v>9076</v>
      </c>
      <c r="J418">
        <v>190596</v>
      </c>
      <c r="K418" s="1" t="s">
        <v>230</v>
      </c>
      <c r="L418" s="2">
        <v>0.57499999999999996</v>
      </c>
      <c r="M418" s="1" t="s">
        <v>36</v>
      </c>
      <c r="N418">
        <v>18152</v>
      </c>
      <c r="O418">
        <v>4761904762</v>
      </c>
      <c r="P418">
        <v>9076</v>
      </c>
      <c r="Q418">
        <v>87</v>
      </c>
    </row>
    <row r="419" spans="1:17" x14ac:dyDescent="0.25">
      <c r="A419" s="1" t="s">
        <v>542</v>
      </c>
      <c r="B419" s="1" t="s">
        <v>26</v>
      </c>
      <c r="C419" s="1" t="s">
        <v>27</v>
      </c>
      <c r="D419" s="1" t="s">
        <v>20</v>
      </c>
      <c r="E419" s="1" t="s">
        <v>21</v>
      </c>
      <c r="F419" s="1" t="s">
        <v>22</v>
      </c>
      <c r="G419">
        <v>8151</v>
      </c>
      <c r="H419">
        <v>1</v>
      </c>
      <c r="I419">
        <v>40755</v>
      </c>
      <c r="J419">
        <v>855855</v>
      </c>
      <c r="K419" s="1" t="s">
        <v>160</v>
      </c>
      <c r="L419" s="2">
        <v>0.45624999999999999</v>
      </c>
      <c r="M419" s="1" t="s">
        <v>24</v>
      </c>
      <c r="N419">
        <v>8151</v>
      </c>
      <c r="O419">
        <v>4761904762</v>
      </c>
      <c r="P419">
        <v>40755</v>
      </c>
      <c r="Q419">
        <v>92</v>
      </c>
    </row>
    <row r="420" spans="1:17" x14ac:dyDescent="0.25">
      <c r="A420" s="1" t="s">
        <v>543</v>
      </c>
      <c r="B420" s="1" t="s">
        <v>51</v>
      </c>
      <c r="C420" s="1" t="s">
        <v>52</v>
      </c>
      <c r="D420" s="1" t="s">
        <v>28</v>
      </c>
      <c r="E420" s="1" t="s">
        <v>21</v>
      </c>
      <c r="F420" s="1" t="s">
        <v>22</v>
      </c>
      <c r="G420">
        <v>5722</v>
      </c>
      <c r="H420">
        <v>2</v>
      </c>
      <c r="I420">
        <v>5722</v>
      </c>
      <c r="J420">
        <v>120162</v>
      </c>
      <c r="K420" s="1" t="s">
        <v>166</v>
      </c>
      <c r="L420" s="2">
        <v>0.71736111111111112</v>
      </c>
      <c r="M420" s="1" t="s">
        <v>24</v>
      </c>
      <c r="N420">
        <v>11444</v>
      </c>
      <c r="O420">
        <v>4761904762</v>
      </c>
      <c r="P420">
        <v>5722</v>
      </c>
      <c r="Q420">
        <v>83</v>
      </c>
    </row>
    <row r="421" spans="1:17" x14ac:dyDescent="0.25">
      <c r="A421" s="1" t="s">
        <v>544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29</v>
      </c>
      <c r="G421">
        <v>2522</v>
      </c>
      <c r="H421">
        <v>7</v>
      </c>
      <c r="I421">
        <v>8827</v>
      </c>
      <c r="J421">
        <v>185367</v>
      </c>
      <c r="K421" s="1" t="s">
        <v>470</v>
      </c>
      <c r="L421" s="2">
        <v>0.43263888888888891</v>
      </c>
      <c r="M421" s="1" t="s">
        <v>31</v>
      </c>
      <c r="N421">
        <v>17654</v>
      </c>
      <c r="O421">
        <v>4761904762</v>
      </c>
      <c r="P421">
        <v>8827</v>
      </c>
      <c r="Q421">
        <v>82</v>
      </c>
    </row>
    <row r="422" spans="1:17" x14ac:dyDescent="0.25">
      <c r="A422" s="1" t="s">
        <v>545</v>
      </c>
      <c r="B422" s="1" t="s">
        <v>26</v>
      </c>
      <c r="C422" s="1" t="s">
        <v>27</v>
      </c>
      <c r="D422" s="1" t="s">
        <v>20</v>
      </c>
      <c r="E422" s="1" t="s">
        <v>21</v>
      </c>
      <c r="F422" s="1" t="s">
        <v>53</v>
      </c>
      <c r="G422">
        <v>386</v>
      </c>
      <c r="H422">
        <v>3</v>
      </c>
      <c r="I422">
        <v>579</v>
      </c>
      <c r="J422">
        <v>12159</v>
      </c>
      <c r="K422" s="1" t="s">
        <v>201</v>
      </c>
      <c r="L422" s="2">
        <v>0.58125000000000004</v>
      </c>
      <c r="M422" s="1" t="s">
        <v>24</v>
      </c>
      <c r="N422">
        <v>1158</v>
      </c>
      <c r="O422">
        <v>4761904762</v>
      </c>
      <c r="P422">
        <v>579</v>
      </c>
      <c r="Q422">
        <v>75</v>
      </c>
    </row>
    <row r="423" spans="1:17" x14ac:dyDescent="0.25">
      <c r="A423" s="1" t="s">
        <v>546</v>
      </c>
      <c r="B423" s="1" t="s">
        <v>26</v>
      </c>
      <c r="C423" s="1" t="s">
        <v>27</v>
      </c>
      <c r="D423" s="1" t="s">
        <v>28</v>
      </c>
      <c r="E423" s="1" t="s">
        <v>21</v>
      </c>
      <c r="F423" s="1" t="s">
        <v>29</v>
      </c>
      <c r="G423">
        <v>8405</v>
      </c>
      <c r="H423">
        <v>3</v>
      </c>
      <c r="I423">
        <v>126075</v>
      </c>
      <c r="J423">
        <v>2647575</v>
      </c>
      <c r="K423" s="1" t="s">
        <v>173</v>
      </c>
      <c r="L423" s="2">
        <v>0.56180555555555556</v>
      </c>
      <c r="M423" s="1" t="s">
        <v>31</v>
      </c>
      <c r="N423">
        <v>25215</v>
      </c>
      <c r="O423">
        <v>4761904762</v>
      </c>
      <c r="P423">
        <v>126075</v>
      </c>
      <c r="Q423">
        <v>98</v>
      </c>
    </row>
    <row r="424" spans="1:17" x14ac:dyDescent="0.25">
      <c r="A424" s="1" t="s">
        <v>547</v>
      </c>
      <c r="B424" s="1" t="s">
        <v>26</v>
      </c>
      <c r="C424" s="1" t="s">
        <v>27</v>
      </c>
      <c r="D424" s="1" t="s">
        <v>20</v>
      </c>
      <c r="E424" s="1" t="s">
        <v>21</v>
      </c>
      <c r="F424" s="1" t="s">
        <v>56</v>
      </c>
      <c r="G424">
        <v>9721</v>
      </c>
      <c r="H424">
        <v>10</v>
      </c>
      <c r="I424">
        <v>48605</v>
      </c>
      <c r="J424">
        <v>1020705</v>
      </c>
      <c r="K424" s="1" t="s">
        <v>41</v>
      </c>
      <c r="L424" s="2">
        <v>0.54166666666666663</v>
      </c>
      <c r="M424" s="1" t="s">
        <v>36</v>
      </c>
      <c r="N424">
        <v>9721</v>
      </c>
      <c r="O424">
        <v>4761904762</v>
      </c>
      <c r="P424">
        <v>48605</v>
      </c>
      <c r="Q424">
        <v>87</v>
      </c>
    </row>
    <row r="425" spans="1:17" x14ac:dyDescent="0.25">
      <c r="A425" s="1" t="s">
        <v>548</v>
      </c>
      <c r="B425" s="1" t="s">
        <v>51</v>
      </c>
      <c r="C425" s="1" t="s">
        <v>52</v>
      </c>
      <c r="D425" s="1" t="s">
        <v>20</v>
      </c>
      <c r="E425" s="1" t="s">
        <v>33</v>
      </c>
      <c r="F425" s="1" t="s">
        <v>56</v>
      </c>
      <c r="G425">
        <v>2542</v>
      </c>
      <c r="H425">
        <v>8</v>
      </c>
      <c r="I425">
        <v>10168</v>
      </c>
      <c r="J425">
        <v>213528</v>
      </c>
      <c r="K425" s="1" t="s">
        <v>121</v>
      </c>
      <c r="L425" s="2">
        <v>0.8208333333333333</v>
      </c>
      <c r="M425" s="1" t="s">
        <v>36</v>
      </c>
      <c r="N425">
        <v>20336</v>
      </c>
      <c r="O425">
        <v>4761904762</v>
      </c>
      <c r="P425">
        <v>10168</v>
      </c>
      <c r="Q425">
        <v>67</v>
      </c>
    </row>
    <row r="426" spans="1:17" x14ac:dyDescent="0.25">
      <c r="A426" s="1" t="s">
        <v>549</v>
      </c>
      <c r="B426" s="1" t="s">
        <v>26</v>
      </c>
      <c r="C426" s="1" t="s">
        <v>27</v>
      </c>
      <c r="D426" s="1" t="s">
        <v>28</v>
      </c>
      <c r="E426" s="1" t="s">
        <v>33</v>
      </c>
      <c r="F426" s="1" t="s">
        <v>56</v>
      </c>
      <c r="G426">
        <v>1628</v>
      </c>
      <c r="H426">
        <v>1</v>
      </c>
      <c r="I426">
        <v>814</v>
      </c>
      <c r="J426">
        <v>17094</v>
      </c>
      <c r="K426" s="1" t="s">
        <v>59</v>
      </c>
      <c r="L426" s="2">
        <v>0.65</v>
      </c>
      <c r="M426" s="1" t="s">
        <v>31</v>
      </c>
      <c r="N426">
        <v>1628</v>
      </c>
      <c r="O426">
        <v>4761904762</v>
      </c>
      <c r="P426">
        <v>814</v>
      </c>
      <c r="Q426">
        <v>5</v>
      </c>
    </row>
    <row r="427" spans="1:17" x14ac:dyDescent="0.25">
      <c r="A427" s="1" t="s">
        <v>550</v>
      </c>
      <c r="B427" s="1" t="s">
        <v>51</v>
      </c>
      <c r="C427" s="1" t="s">
        <v>52</v>
      </c>
      <c r="D427" s="1" t="s">
        <v>20</v>
      </c>
      <c r="E427" s="1" t="s">
        <v>33</v>
      </c>
      <c r="F427" s="1" t="s">
        <v>56</v>
      </c>
      <c r="G427">
        <v>4061</v>
      </c>
      <c r="H427">
        <v>9</v>
      </c>
      <c r="I427">
        <v>182745</v>
      </c>
      <c r="J427">
        <v>3837645</v>
      </c>
      <c r="K427" s="1" t="s">
        <v>181</v>
      </c>
      <c r="L427" s="2">
        <v>0.56944444444444442</v>
      </c>
      <c r="M427" s="1" t="s">
        <v>31</v>
      </c>
      <c r="N427">
        <v>36549</v>
      </c>
      <c r="O427">
        <v>4761904762</v>
      </c>
      <c r="P427">
        <v>182745</v>
      </c>
      <c r="Q427">
        <v>7</v>
      </c>
    </row>
    <row r="428" spans="1:17" x14ac:dyDescent="0.25">
      <c r="A428" s="1" t="s">
        <v>551</v>
      </c>
      <c r="B428" s="1" t="s">
        <v>18</v>
      </c>
      <c r="C428" s="1" t="s">
        <v>19</v>
      </c>
      <c r="D428" s="1" t="s">
        <v>20</v>
      </c>
      <c r="E428" s="1" t="s">
        <v>33</v>
      </c>
      <c r="F428" s="1" t="s">
        <v>22</v>
      </c>
      <c r="G428">
        <v>5317</v>
      </c>
      <c r="H428">
        <v>7</v>
      </c>
      <c r="I428">
        <v>186095</v>
      </c>
      <c r="J428">
        <v>3907995</v>
      </c>
      <c r="K428" s="1" t="s">
        <v>73</v>
      </c>
      <c r="L428" s="2">
        <v>0.75069444444444444</v>
      </c>
      <c r="M428" s="1" t="s">
        <v>31</v>
      </c>
      <c r="N428">
        <v>37219</v>
      </c>
      <c r="O428">
        <v>4761904762</v>
      </c>
      <c r="P428">
        <v>186095</v>
      </c>
      <c r="Q428">
        <v>89</v>
      </c>
    </row>
    <row r="429" spans="1:17" x14ac:dyDescent="0.25">
      <c r="A429" s="1" t="s">
        <v>552</v>
      </c>
      <c r="B429" s="1" t="s">
        <v>51</v>
      </c>
      <c r="C429" s="1" t="s">
        <v>52</v>
      </c>
      <c r="D429" s="1" t="s">
        <v>20</v>
      </c>
      <c r="E429" s="1" t="s">
        <v>21</v>
      </c>
      <c r="F429" s="1" t="s">
        <v>53</v>
      </c>
      <c r="G429">
        <v>2087</v>
      </c>
      <c r="H429">
        <v>3</v>
      </c>
      <c r="I429">
        <v>31305</v>
      </c>
      <c r="J429">
        <v>657405</v>
      </c>
      <c r="K429" s="1" t="s">
        <v>329</v>
      </c>
      <c r="L429" s="2">
        <v>0.57847222222222228</v>
      </c>
      <c r="M429" s="1" t="s">
        <v>36</v>
      </c>
      <c r="N429">
        <v>6261</v>
      </c>
      <c r="O429">
        <v>4761904762</v>
      </c>
      <c r="P429">
        <v>31305</v>
      </c>
      <c r="Q429">
        <v>8</v>
      </c>
    </row>
    <row r="430" spans="1:17" x14ac:dyDescent="0.25">
      <c r="A430" s="1" t="s">
        <v>553</v>
      </c>
      <c r="B430" s="1" t="s">
        <v>51</v>
      </c>
      <c r="C430" s="1" t="s">
        <v>52</v>
      </c>
      <c r="D430" s="1" t="s">
        <v>28</v>
      </c>
      <c r="E430" s="1" t="s">
        <v>33</v>
      </c>
      <c r="F430" s="1" t="s">
        <v>40</v>
      </c>
      <c r="G430">
        <v>6727</v>
      </c>
      <c r="H430">
        <v>5</v>
      </c>
      <c r="I430">
        <v>168175</v>
      </c>
      <c r="J430">
        <v>3531675</v>
      </c>
      <c r="K430" s="1" t="s">
        <v>116</v>
      </c>
      <c r="L430" s="2">
        <v>0.7270833333333333</v>
      </c>
      <c r="M430" s="1" t="s">
        <v>31</v>
      </c>
      <c r="N430">
        <v>33635</v>
      </c>
      <c r="O430">
        <v>4761904762</v>
      </c>
      <c r="P430">
        <v>168175</v>
      </c>
      <c r="Q430">
        <v>69</v>
      </c>
    </row>
    <row r="431" spans="1:17" x14ac:dyDescent="0.25">
      <c r="A431" s="1" t="s">
        <v>554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34</v>
      </c>
      <c r="G431">
        <v>9065</v>
      </c>
      <c r="H431">
        <v>10</v>
      </c>
      <c r="I431">
        <v>45325</v>
      </c>
      <c r="J431">
        <v>951825</v>
      </c>
      <c r="K431" s="1" t="s">
        <v>30</v>
      </c>
      <c r="L431" s="2">
        <v>0.45347222222222222</v>
      </c>
      <c r="M431" s="1" t="s">
        <v>24</v>
      </c>
      <c r="N431">
        <v>9065</v>
      </c>
      <c r="O431">
        <v>4761904762</v>
      </c>
      <c r="P431">
        <v>45325</v>
      </c>
      <c r="Q431">
        <v>73</v>
      </c>
    </row>
    <row r="432" spans="1:17" x14ac:dyDescent="0.25">
      <c r="A432" s="1" t="s">
        <v>555</v>
      </c>
      <c r="B432" s="1" t="s">
        <v>51</v>
      </c>
      <c r="C432" s="1" t="s">
        <v>52</v>
      </c>
      <c r="D432" s="1" t="s">
        <v>28</v>
      </c>
      <c r="E432" s="1" t="s">
        <v>33</v>
      </c>
      <c r="F432" s="1" t="s">
        <v>56</v>
      </c>
      <c r="G432">
        <v>6908</v>
      </c>
      <c r="H432">
        <v>2</v>
      </c>
      <c r="I432">
        <v>6908</v>
      </c>
      <c r="J432">
        <v>145068</v>
      </c>
      <c r="K432" s="1" t="s">
        <v>339</v>
      </c>
      <c r="L432" s="2">
        <v>0.82499999999999996</v>
      </c>
      <c r="M432" s="1" t="s">
        <v>36</v>
      </c>
      <c r="N432">
        <v>13816</v>
      </c>
      <c r="O432">
        <v>4761904762</v>
      </c>
      <c r="P432">
        <v>6908</v>
      </c>
      <c r="Q432">
        <v>69</v>
      </c>
    </row>
    <row r="433" spans="1:17" x14ac:dyDescent="0.25">
      <c r="A433" s="1" t="s">
        <v>556</v>
      </c>
      <c r="B433" s="1" t="s">
        <v>26</v>
      </c>
      <c r="C433" s="1" t="s">
        <v>27</v>
      </c>
      <c r="D433" s="1" t="s">
        <v>28</v>
      </c>
      <c r="E433" s="1" t="s">
        <v>33</v>
      </c>
      <c r="F433" s="1" t="s">
        <v>53</v>
      </c>
      <c r="G433">
        <v>4327</v>
      </c>
      <c r="H433">
        <v>2</v>
      </c>
      <c r="I433">
        <v>4327</v>
      </c>
      <c r="J433">
        <v>90867</v>
      </c>
      <c r="K433" s="1" t="s">
        <v>30</v>
      </c>
      <c r="L433" s="2">
        <v>0.70347222222222228</v>
      </c>
      <c r="M433" s="1" t="s">
        <v>24</v>
      </c>
      <c r="N433">
        <v>8654</v>
      </c>
      <c r="O433">
        <v>4761904762</v>
      </c>
      <c r="P433">
        <v>4327</v>
      </c>
      <c r="Q433">
        <v>57</v>
      </c>
    </row>
    <row r="434" spans="1:17" x14ac:dyDescent="0.25">
      <c r="A434" s="1" t="s">
        <v>557</v>
      </c>
      <c r="B434" s="1" t="s">
        <v>18</v>
      </c>
      <c r="C434" s="1" t="s">
        <v>19</v>
      </c>
      <c r="D434" s="1" t="s">
        <v>28</v>
      </c>
      <c r="E434" s="1" t="s">
        <v>21</v>
      </c>
      <c r="F434" s="1" t="s">
        <v>29</v>
      </c>
      <c r="G434">
        <v>2346</v>
      </c>
      <c r="H434">
        <v>6</v>
      </c>
      <c r="I434">
        <v>7038</v>
      </c>
      <c r="J434">
        <v>147798</v>
      </c>
      <c r="K434" s="1" t="s">
        <v>162</v>
      </c>
      <c r="L434" s="2">
        <v>0.80138888888888893</v>
      </c>
      <c r="M434" s="1" t="s">
        <v>24</v>
      </c>
      <c r="N434">
        <v>14076</v>
      </c>
      <c r="O434">
        <v>4761904762</v>
      </c>
      <c r="P434">
        <v>7038</v>
      </c>
      <c r="Q434">
        <v>64</v>
      </c>
    </row>
    <row r="435" spans="1:17" x14ac:dyDescent="0.25">
      <c r="A435" s="1" t="s">
        <v>558</v>
      </c>
      <c r="B435" s="1" t="s">
        <v>51</v>
      </c>
      <c r="C435" s="1" t="s">
        <v>52</v>
      </c>
      <c r="D435" s="1" t="s">
        <v>28</v>
      </c>
      <c r="E435" s="1" t="s">
        <v>33</v>
      </c>
      <c r="F435" s="1" t="s">
        <v>56</v>
      </c>
      <c r="G435">
        <v>9554</v>
      </c>
      <c r="H435">
        <v>7</v>
      </c>
      <c r="I435">
        <v>33439</v>
      </c>
      <c r="J435">
        <v>702219</v>
      </c>
      <c r="K435" s="1" t="s">
        <v>59</v>
      </c>
      <c r="L435" s="2">
        <v>0.60833333333333328</v>
      </c>
      <c r="M435" s="1" t="s">
        <v>36</v>
      </c>
      <c r="N435">
        <v>66878</v>
      </c>
      <c r="O435">
        <v>4761904762</v>
      </c>
      <c r="P435">
        <v>33439</v>
      </c>
      <c r="Q435">
        <v>96</v>
      </c>
    </row>
    <row r="436" spans="1:17" x14ac:dyDescent="0.25">
      <c r="A436" s="1" t="s">
        <v>559</v>
      </c>
      <c r="B436" s="1" t="s">
        <v>51</v>
      </c>
      <c r="C436" s="1" t="s">
        <v>52</v>
      </c>
      <c r="D436" s="1" t="s">
        <v>28</v>
      </c>
      <c r="E436" s="1" t="s">
        <v>21</v>
      </c>
      <c r="F436" s="1" t="s">
        <v>56</v>
      </c>
      <c r="G436">
        <v>4744</v>
      </c>
      <c r="H436">
        <v>1</v>
      </c>
      <c r="I436">
        <v>2372</v>
      </c>
      <c r="J436">
        <v>49812</v>
      </c>
      <c r="K436" s="1" t="s">
        <v>250</v>
      </c>
      <c r="L436" s="2">
        <v>0.7631944444444444</v>
      </c>
      <c r="M436" s="1" t="s">
        <v>36</v>
      </c>
      <c r="N436">
        <v>4744</v>
      </c>
      <c r="O436">
        <v>4761904762</v>
      </c>
      <c r="P436">
        <v>2372</v>
      </c>
      <c r="Q436">
        <v>68</v>
      </c>
    </row>
    <row r="437" spans="1:17" x14ac:dyDescent="0.25">
      <c r="A437" s="1" t="s">
        <v>560</v>
      </c>
      <c r="B437" s="1" t="s">
        <v>26</v>
      </c>
      <c r="C437" s="1" t="s">
        <v>27</v>
      </c>
      <c r="D437" s="1" t="s">
        <v>28</v>
      </c>
      <c r="E437" s="1" t="s">
        <v>33</v>
      </c>
      <c r="F437" s="1" t="s">
        <v>40</v>
      </c>
      <c r="G437">
        <v>9924</v>
      </c>
      <c r="H437">
        <v>9</v>
      </c>
      <c r="I437">
        <v>44658</v>
      </c>
      <c r="J437">
        <v>937818</v>
      </c>
      <c r="K437" s="1" t="s">
        <v>121</v>
      </c>
      <c r="L437" s="2">
        <v>0.79791666666666672</v>
      </c>
      <c r="M437" s="1" t="s">
        <v>24</v>
      </c>
      <c r="N437">
        <v>89316</v>
      </c>
      <c r="O437">
        <v>4761904762</v>
      </c>
      <c r="P437">
        <v>44658</v>
      </c>
      <c r="Q437">
        <v>9</v>
      </c>
    </row>
    <row r="438" spans="1:17" x14ac:dyDescent="0.25">
      <c r="A438" s="1" t="s">
        <v>561</v>
      </c>
      <c r="B438" s="1" t="s">
        <v>26</v>
      </c>
      <c r="C438" s="1" t="s">
        <v>27</v>
      </c>
      <c r="D438" s="1" t="s">
        <v>20</v>
      </c>
      <c r="E438" s="1" t="s">
        <v>33</v>
      </c>
      <c r="F438" s="1" t="s">
        <v>40</v>
      </c>
      <c r="G438">
        <v>8293</v>
      </c>
      <c r="H438">
        <v>4</v>
      </c>
      <c r="I438">
        <v>16586</v>
      </c>
      <c r="J438">
        <v>348306</v>
      </c>
      <c r="K438" s="1" t="s">
        <v>135</v>
      </c>
      <c r="L438" s="2">
        <v>0.70208333333333328</v>
      </c>
      <c r="M438" s="1" t="s">
        <v>24</v>
      </c>
      <c r="N438">
        <v>33172</v>
      </c>
      <c r="O438">
        <v>4761904762</v>
      </c>
      <c r="P438">
        <v>16586</v>
      </c>
      <c r="Q438">
        <v>96</v>
      </c>
    </row>
    <row r="439" spans="1:17" x14ac:dyDescent="0.25">
      <c r="A439" s="1" t="s">
        <v>562</v>
      </c>
      <c r="B439" s="1" t="s">
        <v>18</v>
      </c>
      <c r="C439" s="1" t="s">
        <v>19</v>
      </c>
      <c r="D439" s="1" t="s">
        <v>28</v>
      </c>
      <c r="E439" s="1" t="s">
        <v>33</v>
      </c>
      <c r="F439" s="1" t="s">
        <v>34</v>
      </c>
      <c r="G439">
        <v>3399</v>
      </c>
      <c r="H439">
        <v>6</v>
      </c>
      <c r="I439">
        <v>10197</v>
      </c>
      <c r="J439">
        <v>214137</v>
      </c>
      <c r="K439" s="1" t="s">
        <v>30</v>
      </c>
      <c r="L439" s="2">
        <v>0.65069444444444446</v>
      </c>
      <c r="M439" s="1" t="s">
        <v>36</v>
      </c>
      <c r="N439">
        <v>20394</v>
      </c>
      <c r="O439">
        <v>4761904762</v>
      </c>
      <c r="P439">
        <v>10197</v>
      </c>
      <c r="Q439">
        <v>77</v>
      </c>
    </row>
    <row r="440" spans="1:17" x14ac:dyDescent="0.25">
      <c r="A440" s="1" t="s">
        <v>563</v>
      </c>
      <c r="B440" s="1" t="s">
        <v>26</v>
      </c>
      <c r="C440" s="1" t="s">
        <v>27</v>
      </c>
      <c r="D440" s="1" t="s">
        <v>20</v>
      </c>
      <c r="E440" s="1" t="s">
        <v>33</v>
      </c>
      <c r="F440" s="1" t="s">
        <v>53</v>
      </c>
      <c r="G440">
        <v>1704</v>
      </c>
      <c r="H440">
        <v>4</v>
      </c>
      <c r="I440">
        <v>3408</v>
      </c>
      <c r="J440">
        <v>71568</v>
      </c>
      <c r="K440" s="1" t="s">
        <v>30</v>
      </c>
      <c r="L440" s="2">
        <v>0.84375</v>
      </c>
      <c r="M440" s="1" t="s">
        <v>24</v>
      </c>
      <c r="N440">
        <v>6816</v>
      </c>
      <c r="O440">
        <v>4761904762</v>
      </c>
      <c r="P440">
        <v>3408</v>
      </c>
      <c r="Q440">
        <v>7</v>
      </c>
    </row>
    <row r="441" spans="1:17" x14ac:dyDescent="0.25">
      <c r="A441" s="1" t="s">
        <v>564</v>
      </c>
      <c r="B441" s="1" t="s">
        <v>26</v>
      </c>
      <c r="C441" s="1" t="s">
        <v>27</v>
      </c>
      <c r="D441" s="1" t="s">
        <v>28</v>
      </c>
      <c r="E441" s="1" t="s">
        <v>21</v>
      </c>
      <c r="F441" s="1" t="s">
        <v>29</v>
      </c>
      <c r="G441">
        <v>4086</v>
      </c>
      <c r="H441">
        <v>8</v>
      </c>
      <c r="I441">
        <v>16344</v>
      </c>
      <c r="J441">
        <v>343224</v>
      </c>
      <c r="K441" s="1" t="s">
        <v>63</v>
      </c>
      <c r="L441" s="2">
        <v>0.60972222222222228</v>
      </c>
      <c r="M441" s="1" t="s">
        <v>36</v>
      </c>
      <c r="N441">
        <v>32688</v>
      </c>
      <c r="O441">
        <v>4761904762</v>
      </c>
      <c r="P441">
        <v>16344</v>
      </c>
      <c r="Q441">
        <v>65</v>
      </c>
    </row>
    <row r="442" spans="1:17" x14ac:dyDescent="0.25">
      <c r="A442" s="1" t="s">
        <v>565</v>
      </c>
      <c r="B442" s="1" t="s">
        <v>26</v>
      </c>
      <c r="C442" s="1" t="s">
        <v>27</v>
      </c>
      <c r="D442" s="1" t="s">
        <v>20</v>
      </c>
      <c r="E442" s="1" t="s">
        <v>33</v>
      </c>
      <c r="F442" s="1" t="s">
        <v>53</v>
      </c>
      <c r="G442">
        <v>1744</v>
      </c>
      <c r="H442">
        <v>5</v>
      </c>
      <c r="I442">
        <v>436</v>
      </c>
      <c r="J442">
        <v>9156</v>
      </c>
      <c r="K442" s="1" t="s">
        <v>67</v>
      </c>
      <c r="L442" s="2">
        <v>0.80902777777777779</v>
      </c>
      <c r="M442" s="1" t="s">
        <v>31</v>
      </c>
      <c r="N442">
        <v>872</v>
      </c>
      <c r="O442">
        <v>4761904762</v>
      </c>
      <c r="P442">
        <v>436</v>
      </c>
      <c r="Q442">
        <v>81</v>
      </c>
    </row>
    <row r="443" spans="1:17" x14ac:dyDescent="0.25">
      <c r="A443" s="1" t="s">
        <v>566</v>
      </c>
      <c r="B443" s="1" t="s">
        <v>51</v>
      </c>
      <c r="C443" s="1" t="s">
        <v>52</v>
      </c>
      <c r="D443" s="1" t="s">
        <v>20</v>
      </c>
      <c r="E443" s="1" t="s">
        <v>21</v>
      </c>
      <c r="F443" s="1" t="s">
        <v>40</v>
      </c>
      <c r="G443">
        <v>8843</v>
      </c>
      <c r="H443">
        <v>8</v>
      </c>
      <c r="I443">
        <v>35372</v>
      </c>
      <c r="J443">
        <v>742812</v>
      </c>
      <c r="K443" s="1" t="s">
        <v>85</v>
      </c>
      <c r="L443" s="2">
        <v>0.81597222222222221</v>
      </c>
      <c r="M443" s="1" t="s">
        <v>36</v>
      </c>
      <c r="N443">
        <v>70744</v>
      </c>
      <c r="O443">
        <v>4761904762</v>
      </c>
      <c r="P443">
        <v>35372</v>
      </c>
      <c r="Q443">
        <v>43</v>
      </c>
    </row>
    <row r="444" spans="1:17" x14ac:dyDescent="0.25">
      <c r="A444" s="1" t="s">
        <v>567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34</v>
      </c>
      <c r="G444">
        <v>8921</v>
      </c>
      <c r="H444">
        <v>9</v>
      </c>
      <c r="I444">
        <v>401445</v>
      </c>
      <c r="J444">
        <v>8430345</v>
      </c>
      <c r="K444" s="1" t="s">
        <v>67</v>
      </c>
      <c r="L444" s="2">
        <v>0.65416666666666667</v>
      </c>
      <c r="M444" s="1" t="s">
        <v>36</v>
      </c>
      <c r="N444">
        <v>80289</v>
      </c>
      <c r="O444">
        <v>4761904762</v>
      </c>
      <c r="P444">
        <v>401445</v>
      </c>
      <c r="Q444">
        <v>65</v>
      </c>
    </row>
    <row r="445" spans="1:17" x14ac:dyDescent="0.25">
      <c r="A445" s="1" t="s">
        <v>568</v>
      </c>
      <c r="B445" s="1" t="s">
        <v>26</v>
      </c>
      <c r="C445" s="1" t="s">
        <v>27</v>
      </c>
      <c r="D445" s="1" t="s">
        <v>28</v>
      </c>
      <c r="E445" s="1" t="s">
        <v>33</v>
      </c>
      <c r="F445" s="1" t="s">
        <v>56</v>
      </c>
      <c r="G445">
        <v>1278</v>
      </c>
      <c r="H445">
        <v>1</v>
      </c>
      <c r="I445">
        <v>639</v>
      </c>
      <c r="J445">
        <v>13419</v>
      </c>
      <c r="K445" s="1" t="s">
        <v>230</v>
      </c>
      <c r="L445" s="2">
        <v>0.59097222222222223</v>
      </c>
      <c r="M445" s="1" t="s">
        <v>24</v>
      </c>
      <c r="N445">
        <v>1278</v>
      </c>
      <c r="O445">
        <v>4761904762</v>
      </c>
      <c r="P445">
        <v>639</v>
      </c>
      <c r="Q445">
        <v>95</v>
      </c>
    </row>
    <row r="446" spans="1:17" x14ac:dyDescent="0.25">
      <c r="A446" s="1" t="s">
        <v>569</v>
      </c>
      <c r="B446" s="1" t="s">
        <v>18</v>
      </c>
      <c r="C446" s="1" t="s">
        <v>19</v>
      </c>
      <c r="D446" s="1" t="s">
        <v>28</v>
      </c>
      <c r="E446" s="1" t="s">
        <v>21</v>
      </c>
      <c r="F446" s="1" t="s">
        <v>40</v>
      </c>
      <c r="G446">
        <v>191</v>
      </c>
      <c r="H446">
        <v>7</v>
      </c>
      <c r="I446">
        <v>6685</v>
      </c>
      <c r="J446">
        <v>140385</v>
      </c>
      <c r="K446" s="1" t="s">
        <v>67</v>
      </c>
      <c r="L446" s="2">
        <v>0.4465277777777778</v>
      </c>
      <c r="M446" s="1" t="s">
        <v>31</v>
      </c>
      <c r="N446">
        <v>1337</v>
      </c>
      <c r="O446">
        <v>4761904762</v>
      </c>
      <c r="P446">
        <v>6685</v>
      </c>
      <c r="Q446">
        <v>97</v>
      </c>
    </row>
    <row r="447" spans="1:17" x14ac:dyDescent="0.25">
      <c r="A447" s="1" t="s">
        <v>570</v>
      </c>
      <c r="B447" s="1" t="s">
        <v>51</v>
      </c>
      <c r="C447" s="1" t="s">
        <v>52</v>
      </c>
      <c r="D447" s="1" t="s">
        <v>20</v>
      </c>
      <c r="E447" s="1" t="s">
        <v>21</v>
      </c>
      <c r="F447" s="1" t="s">
        <v>22</v>
      </c>
      <c r="G447">
        <v>1915</v>
      </c>
      <c r="H447">
        <v>1</v>
      </c>
      <c r="I447">
        <v>9575</v>
      </c>
      <c r="J447">
        <v>201075</v>
      </c>
      <c r="K447" s="1" t="s">
        <v>94</v>
      </c>
      <c r="L447" s="2">
        <v>0.74861111111111112</v>
      </c>
      <c r="M447" s="1" t="s">
        <v>36</v>
      </c>
      <c r="N447">
        <v>1915</v>
      </c>
      <c r="O447">
        <v>4761904762</v>
      </c>
      <c r="P447">
        <v>9575</v>
      </c>
      <c r="Q447">
        <v>95</v>
      </c>
    </row>
    <row r="448" spans="1:17" x14ac:dyDescent="0.25">
      <c r="A448" s="1" t="s">
        <v>571</v>
      </c>
      <c r="B448" s="1" t="s">
        <v>26</v>
      </c>
      <c r="C448" s="1" t="s">
        <v>27</v>
      </c>
      <c r="D448" s="1" t="s">
        <v>20</v>
      </c>
      <c r="E448" s="1" t="s">
        <v>33</v>
      </c>
      <c r="F448" s="1" t="s">
        <v>53</v>
      </c>
      <c r="G448">
        <v>2766</v>
      </c>
      <c r="H448">
        <v>10</v>
      </c>
      <c r="I448">
        <v>1383</v>
      </c>
      <c r="J448">
        <v>29043</v>
      </c>
      <c r="K448" s="1" t="s">
        <v>145</v>
      </c>
      <c r="L448" s="2">
        <v>0.47638888888888886</v>
      </c>
      <c r="M448" s="1" t="s">
        <v>36</v>
      </c>
      <c r="N448">
        <v>2766</v>
      </c>
      <c r="O448">
        <v>4761904762</v>
      </c>
      <c r="P448">
        <v>1383</v>
      </c>
      <c r="Q448">
        <v>89</v>
      </c>
    </row>
    <row r="449" spans="1:17" x14ac:dyDescent="0.25">
      <c r="A449" s="1" t="s">
        <v>572</v>
      </c>
      <c r="B449" s="1" t="s">
        <v>26</v>
      </c>
      <c r="C449" s="1" t="s">
        <v>27</v>
      </c>
      <c r="D449" s="1" t="s">
        <v>28</v>
      </c>
      <c r="E449" s="1" t="s">
        <v>33</v>
      </c>
      <c r="F449" s="1" t="s">
        <v>56</v>
      </c>
      <c r="G449">
        <v>4574</v>
      </c>
      <c r="H449">
        <v>3</v>
      </c>
      <c r="I449">
        <v>6861</v>
      </c>
      <c r="J449">
        <v>144081</v>
      </c>
      <c r="K449" s="1" t="s">
        <v>88</v>
      </c>
      <c r="L449" s="2">
        <v>0.73472222222222228</v>
      </c>
      <c r="M449" s="1" t="s">
        <v>36</v>
      </c>
      <c r="N449">
        <v>13722</v>
      </c>
      <c r="O449">
        <v>4761904762</v>
      </c>
      <c r="P449">
        <v>6861</v>
      </c>
      <c r="Q449">
        <v>65</v>
      </c>
    </row>
    <row r="450" spans="1:17" x14ac:dyDescent="0.25">
      <c r="A450" s="1" t="s">
        <v>573</v>
      </c>
      <c r="B450" s="1" t="s">
        <v>51</v>
      </c>
      <c r="C450" s="1" t="s">
        <v>52</v>
      </c>
      <c r="D450" s="1" t="s">
        <v>20</v>
      </c>
      <c r="E450" s="1" t="s">
        <v>21</v>
      </c>
      <c r="F450" s="1" t="s">
        <v>22</v>
      </c>
      <c r="G450">
        <v>2707</v>
      </c>
      <c r="H450">
        <v>1</v>
      </c>
      <c r="I450">
        <v>13535</v>
      </c>
      <c r="J450">
        <v>284235</v>
      </c>
      <c r="K450" s="1" t="s">
        <v>166</v>
      </c>
      <c r="L450" s="2">
        <v>0.83819444444444446</v>
      </c>
      <c r="M450" s="1" t="s">
        <v>36</v>
      </c>
      <c r="N450">
        <v>2707</v>
      </c>
      <c r="O450">
        <v>4761904762</v>
      </c>
      <c r="P450">
        <v>13535</v>
      </c>
      <c r="Q450">
        <v>53</v>
      </c>
    </row>
    <row r="451" spans="1:17" x14ac:dyDescent="0.25">
      <c r="A451" s="1" t="s">
        <v>574</v>
      </c>
      <c r="B451" s="1" t="s">
        <v>51</v>
      </c>
      <c r="C451" s="1" t="s">
        <v>52</v>
      </c>
      <c r="D451" s="1" t="s">
        <v>20</v>
      </c>
      <c r="E451" s="1" t="s">
        <v>21</v>
      </c>
      <c r="F451" s="1" t="s">
        <v>40</v>
      </c>
      <c r="G451">
        <v>3912</v>
      </c>
      <c r="H451">
        <v>1</v>
      </c>
      <c r="I451">
        <v>1956</v>
      </c>
      <c r="J451">
        <v>41076</v>
      </c>
      <c r="K451" s="1" t="s">
        <v>195</v>
      </c>
      <c r="L451" s="2">
        <v>0.4597222222222222</v>
      </c>
      <c r="M451" s="1" t="s">
        <v>36</v>
      </c>
      <c r="N451">
        <v>3912</v>
      </c>
      <c r="O451">
        <v>4761904762</v>
      </c>
      <c r="P451">
        <v>1956</v>
      </c>
      <c r="Q451">
        <v>96</v>
      </c>
    </row>
    <row r="452" spans="1:17" x14ac:dyDescent="0.25">
      <c r="A452" s="1" t="s">
        <v>575</v>
      </c>
      <c r="B452" s="1" t="s">
        <v>51</v>
      </c>
      <c r="C452" s="1" t="s">
        <v>52</v>
      </c>
      <c r="D452" s="1" t="s">
        <v>28</v>
      </c>
      <c r="E452" s="1" t="s">
        <v>21</v>
      </c>
      <c r="F452" s="1" t="s">
        <v>29</v>
      </c>
      <c r="G452">
        <v>7471</v>
      </c>
      <c r="H452">
        <v>6</v>
      </c>
      <c r="I452">
        <v>22413</v>
      </c>
      <c r="J452">
        <v>470673</v>
      </c>
      <c r="K452" s="1" t="s">
        <v>71</v>
      </c>
      <c r="L452" s="2">
        <v>0.79652777777777772</v>
      </c>
      <c r="M452" s="1" t="s">
        <v>31</v>
      </c>
      <c r="N452">
        <v>44826</v>
      </c>
      <c r="O452">
        <v>4761904762</v>
      </c>
      <c r="P452">
        <v>22413</v>
      </c>
      <c r="Q452">
        <v>67</v>
      </c>
    </row>
    <row r="453" spans="1:17" x14ac:dyDescent="0.25">
      <c r="A453" s="1" t="s">
        <v>576</v>
      </c>
      <c r="B453" s="1" t="s">
        <v>51</v>
      </c>
      <c r="C453" s="1" t="s">
        <v>52</v>
      </c>
      <c r="D453" s="1" t="s">
        <v>28</v>
      </c>
      <c r="E453" s="1" t="s">
        <v>33</v>
      </c>
      <c r="F453" s="1" t="s">
        <v>29</v>
      </c>
      <c r="G453">
        <v>2201</v>
      </c>
      <c r="H453">
        <v>6</v>
      </c>
      <c r="I453">
        <v>6603</v>
      </c>
      <c r="J453">
        <v>138663</v>
      </c>
      <c r="K453" s="1" t="s">
        <v>181</v>
      </c>
      <c r="L453" s="2">
        <v>0.78472222222222221</v>
      </c>
      <c r="M453" s="1" t="s">
        <v>31</v>
      </c>
      <c r="N453">
        <v>13206</v>
      </c>
      <c r="O453">
        <v>4761904762</v>
      </c>
      <c r="P453">
        <v>6603</v>
      </c>
      <c r="Q453">
        <v>76</v>
      </c>
    </row>
    <row r="454" spans="1:17" x14ac:dyDescent="0.25">
      <c r="A454" s="1" t="s">
        <v>577</v>
      </c>
      <c r="B454" s="1" t="s">
        <v>18</v>
      </c>
      <c r="C454" s="1" t="s">
        <v>19</v>
      </c>
      <c r="D454" s="1" t="s">
        <v>28</v>
      </c>
      <c r="E454" s="1" t="s">
        <v>21</v>
      </c>
      <c r="F454" s="1" t="s">
        <v>53</v>
      </c>
      <c r="G454">
        <v>6361</v>
      </c>
      <c r="H454">
        <v>5</v>
      </c>
      <c r="I454">
        <v>159025</v>
      </c>
      <c r="J454">
        <v>3339525</v>
      </c>
      <c r="K454" s="1" t="s">
        <v>113</v>
      </c>
      <c r="L454" s="2">
        <v>0.52986111111111112</v>
      </c>
      <c r="M454" s="1" t="s">
        <v>24</v>
      </c>
      <c r="N454">
        <v>31805</v>
      </c>
      <c r="O454">
        <v>4761904762</v>
      </c>
      <c r="P454">
        <v>159025</v>
      </c>
      <c r="Q454">
        <v>48</v>
      </c>
    </row>
    <row r="455" spans="1:17" x14ac:dyDescent="0.25">
      <c r="A455" s="1" t="s">
        <v>578</v>
      </c>
      <c r="B455" s="1" t="s">
        <v>18</v>
      </c>
      <c r="C455" s="1" t="s">
        <v>19</v>
      </c>
      <c r="D455" s="1" t="s">
        <v>28</v>
      </c>
      <c r="E455" s="1" t="s">
        <v>33</v>
      </c>
      <c r="F455" s="1" t="s">
        <v>22</v>
      </c>
      <c r="G455">
        <v>25</v>
      </c>
      <c r="H455">
        <v>1</v>
      </c>
      <c r="I455">
        <v>125</v>
      </c>
      <c r="J455">
        <v>2625</v>
      </c>
      <c r="K455" s="1" t="s">
        <v>35</v>
      </c>
      <c r="L455" s="2">
        <v>0.63124999999999998</v>
      </c>
      <c r="M455" s="1" t="s">
        <v>24</v>
      </c>
      <c r="N455">
        <v>25</v>
      </c>
      <c r="O455">
        <v>4761904762</v>
      </c>
      <c r="P455">
        <v>125</v>
      </c>
      <c r="Q455">
        <v>55</v>
      </c>
    </row>
    <row r="456" spans="1:17" x14ac:dyDescent="0.25">
      <c r="A456" s="1" t="s">
        <v>579</v>
      </c>
      <c r="B456" s="1" t="s">
        <v>18</v>
      </c>
      <c r="C456" s="1" t="s">
        <v>19</v>
      </c>
      <c r="D456" s="1" t="s">
        <v>20</v>
      </c>
      <c r="E456" s="1" t="s">
        <v>33</v>
      </c>
      <c r="F456" s="1" t="s">
        <v>29</v>
      </c>
      <c r="G456">
        <v>2077</v>
      </c>
      <c r="H456">
        <v>4</v>
      </c>
      <c r="I456">
        <v>4154</v>
      </c>
      <c r="J456">
        <v>87234</v>
      </c>
      <c r="K456" s="1" t="s">
        <v>339</v>
      </c>
      <c r="L456" s="2">
        <v>0.57430555555555551</v>
      </c>
      <c r="M456" s="1" t="s">
        <v>31</v>
      </c>
      <c r="N456">
        <v>8308</v>
      </c>
      <c r="O456">
        <v>4761904762</v>
      </c>
      <c r="P456">
        <v>4154</v>
      </c>
      <c r="Q456">
        <v>47</v>
      </c>
    </row>
    <row r="457" spans="1:17" x14ac:dyDescent="0.25">
      <c r="A457" s="1" t="s">
        <v>580</v>
      </c>
      <c r="B457" s="1" t="s">
        <v>51</v>
      </c>
      <c r="C457" s="1" t="s">
        <v>52</v>
      </c>
      <c r="D457" s="1" t="s">
        <v>20</v>
      </c>
      <c r="E457" s="1" t="s">
        <v>21</v>
      </c>
      <c r="F457" s="1" t="s">
        <v>56</v>
      </c>
      <c r="G457">
        <v>2956</v>
      </c>
      <c r="H457">
        <v>5</v>
      </c>
      <c r="I457">
        <v>739</v>
      </c>
      <c r="J457">
        <v>15519</v>
      </c>
      <c r="K457" s="1" t="s">
        <v>291</v>
      </c>
      <c r="L457" s="2">
        <v>0.70763888888888893</v>
      </c>
      <c r="M457" s="1" t="s">
        <v>31</v>
      </c>
      <c r="N457">
        <v>1478</v>
      </c>
      <c r="O457">
        <v>4761904762</v>
      </c>
      <c r="P457">
        <v>739</v>
      </c>
      <c r="Q457">
        <v>69</v>
      </c>
    </row>
    <row r="458" spans="1:17" x14ac:dyDescent="0.25">
      <c r="A458" s="1" t="s">
        <v>581</v>
      </c>
      <c r="B458" s="1" t="s">
        <v>51</v>
      </c>
      <c r="C458" s="1" t="s">
        <v>52</v>
      </c>
      <c r="D458" s="1" t="s">
        <v>20</v>
      </c>
      <c r="E458" s="1" t="s">
        <v>21</v>
      </c>
      <c r="F458" s="1" t="s">
        <v>53</v>
      </c>
      <c r="G458">
        <v>774</v>
      </c>
      <c r="H458">
        <v>9</v>
      </c>
      <c r="I458">
        <v>3483</v>
      </c>
      <c r="J458">
        <v>73143</v>
      </c>
      <c r="K458" s="1" t="s">
        <v>139</v>
      </c>
      <c r="L458" s="2">
        <v>0.59375</v>
      </c>
      <c r="M458" s="1" t="s">
        <v>36</v>
      </c>
      <c r="N458">
        <v>6966</v>
      </c>
      <c r="O458">
        <v>4761904762</v>
      </c>
      <c r="P458">
        <v>3483</v>
      </c>
      <c r="Q458">
        <v>45</v>
      </c>
    </row>
    <row r="459" spans="1:17" x14ac:dyDescent="0.25">
      <c r="A459" s="1" t="s">
        <v>582</v>
      </c>
      <c r="B459" s="1" t="s">
        <v>51</v>
      </c>
      <c r="C459" s="1" t="s">
        <v>52</v>
      </c>
      <c r="D459" s="1" t="s">
        <v>28</v>
      </c>
      <c r="E459" s="1" t="s">
        <v>33</v>
      </c>
      <c r="F459" s="1" t="s">
        <v>29</v>
      </c>
      <c r="G459">
        <v>7939</v>
      </c>
      <c r="H459">
        <v>10</v>
      </c>
      <c r="I459">
        <v>39695</v>
      </c>
      <c r="J459">
        <v>833595</v>
      </c>
      <c r="K459" s="1" t="s">
        <v>63</v>
      </c>
      <c r="L459" s="2">
        <v>0.85</v>
      </c>
      <c r="M459" s="1" t="s">
        <v>31</v>
      </c>
      <c r="N459">
        <v>7939</v>
      </c>
      <c r="O459">
        <v>4761904762</v>
      </c>
      <c r="P459">
        <v>39695</v>
      </c>
      <c r="Q459">
        <v>62</v>
      </c>
    </row>
    <row r="460" spans="1:17" x14ac:dyDescent="0.25">
      <c r="A460" s="1" t="s">
        <v>583</v>
      </c>
      <c r="B460" s="1" t="s">
        <v>26</v>
      </c>
      <c r="C460" s="1" t="s">
        <v>27</v>
      </c>
      <c r="D460" s="1" t="s">
        <v>20</v>
      </c>
      <c r="E460" s="1" t="s">
        <v>21</v>
      </c>
      <c r="F460" s="1" t="s">
        <v>29</v>
      </c>
      <c r="G460">
        <v>4657</v>
      </c>
      <c r="H460">
        <v>10</v>
      </c>
      <c r="I460">
        <v>23285</v>
      </c>
      <c r="J460">
        <v>488985</v>
      </c>
      <c r="K460" s="1" t="s">
        <v>38</v>
      </c>
      <c r="L460" s="2">
        <v>0.58194444444444449</v>
      </c>
      <c r="M460" s="1" t="s">
        <v>31</v>
      </c>
      <c r="N460">
        <v>4657</v>
      </c>
      <c r="O460">
        <v>4761904762</v>
      </c>
      <c r="P460">
        <v>23285</v>
      </c>
      <c r="Q460">
        <v>76</v>
      </c>
    </row>
    <row r="461" spans="1:17" x14ac:dyDescent="0.25">
      <c r="A461" s="1" t="s">
        <v>584</v>
      </c>
      <c r="B461" s="1" t="s">
        <v>26</v>
      </c>
      <c r="C461" s="1" t="s">
        <v>27</v>
      </c>
      <c r="D461" s="1" t="s">
        <v>28</v>
      </c>
      <c r="E461" s="1" t="s">
        <v>33</v>
      </c>
      <c r="F461" s="1" t="s">
        <v>53</v>
      </c>
      <c r="G461">
        <v>3589</v>
      </c>
      <c r="H461">
        <v>1</v>
      </c>
      <c r="I461">
        <v>17945</v>
      </c>
      <c r="J461">
        <v>376845</v>
      </c>
      <c r="K461" s="1" t="s">
        <v>175</v>
      </c>
      <c r="L461" s="2">
        <v>0.70277777777777772</v>
      </c>
      <c r="M461" s="1" t="s">
        <v>36</v>
      </c>
      <c r="N461">
        <v>3589</v>
      </c>
      <c r="O461">
        <v>4761904762</v>
      </c>
      <c r="P461">
        <v>17945</v>
      </c>
      <c r="Q461">
        <v>79</v>
      </c>
    </row>
    <row r="462" spans="1:17" x14ac:dyDescent="0.25">
      <c r="A462" s="1" t="s">
        <v>585</v>
      </c>
      <c r="B462" s="1" t="s">
        <v>26</v>
      </c>
      <c r="C462" s="1" t="s">
        <v>27</v>
      </c>
      <c r="D462" s="1" t="s">
        <v>28</v>
      </c>
      <c r="E462" s="1" t="s">
        <v>33</v>
      </c>
      <c r="F462" s="1" t="s">
        <v>53</v>
      </c>
      <c r="G462">
        <v>4052</v>
      </c>
      <c r="H462">
        <v>5</v>
      </c>
      <c r="I462">
        <v>1013</v>
      </c>
      <c r="J462">
        <v>21273</v>
      </c>
      <c r="K462" s="1" t="s">
        <v>123</v>
      </c>
      <c r="L462" s="2">
        <v>0.6381944444444444</v>
      </c>
      <c r="M462" s="1" t="s">
        <v>31</v>
      </c>
      <c r="N462">
        <v>2026</v>
      </c>
      <c r="O462">
        <v>4761904762</v>
      </c>
      <c r="P462">
        <v>1013</v>
      </c>
      <c r="Q462">
        <v>45</v>
      </c>
    </row>
    <row r="463" spans="1:17" x14ac:dyDescent="0.25">
      <c r="A463" s="1" t="s">
        <v>586</v>
      </c>
      <c r="B463" s="1" t="s">
        <v>51</v>
      </c>
      <c r="C463" s="1" t="s">
        <v>52</v>
      </c>
      <c r="D463" s="1" t="s">
        <v>20</v>
      </c>
      <c r="E463" s="1" t="s">
        <v>21</v>
      </c>
      <c r="F463" s="1" t="s">
        <v>53</v>
      </c>
      <c r="G463">
        <v>7305</v>
      </c>
      <c r="H463">
        <v>10</v>
      </c>
      <c r="I463">
        <v>36525</v>
      </c>
      <c r="J463">
        <v>767025</v>
      </c>
      <c r="K463" s="1" t="s">
        <v>35</v>
      </c>
      <c r="L463" s="2">
        <v>0.51736111111111116</v>
      </c>
      <c r="M463" s="1" t="s">
        <v>36</v>
      </c>
      <c r="N463">
        <v>7305</v>
      </c>
      <c r="O463">
        <v>4761904762</v>
      </c>
      <c r="P463">
        <v>36525</v>
      </c>
      <c r="Q463">
        <v>87</v>
      </c>
    </row>
    <row r="464" spans="1:17" x14ac:dyDescent="0.25">
      <c r="A464" s="1" t="s">
        <v>587</v>
      </c>
      <c r="B464" s="1" t="s">
        <v>26</v>
      </c>
      <c r="C464" s="1" t="s">
        <v>27</v>
      </c>
      <c r="D464" s="1" t="s">
        <v>28</v>
      </c>
      <c r="E464" s="1" t="s">
        <v>21</v>
      </c>
      <c r="F464" s="1" t="s">
        <v>40</v>
      </c>
      <c r="G464">
        <v>7395</v>
      </c>
      <c r="H464">
        <v>4</v>
      </c>
      <c r="I464">
        <v>1479</v>
      </c>
      <c r="J464">
        <v>31059</v>
      </c>
      <c r="K464" s="1" t="s">
        <v>123</v>
      </c>
      <c r="L464" s="2">
        <v>0.41805555555555557</v>
      </c>
      <c r="M464" s="1" t="s">
        <v>31</v>
      </c>
      <c r="N464">
        <v>2958</v>
      </c>
      <c r="O464">
        <v>4761904762</v>
      </c>
      <c r="P464">
        <v>1479</v>
      </c>
      <c r="Q464">
        <v>61</v>
      </c>
    </row>
    <row r="465" spans="1:17" x14ac:dyDescent="0.25">
      <c r="A465" s="1" t="s">
        <v>588</v>
      </c>
      <c r="B465" s="1" t="s">
        <v>26</v>
      </c>
      <c r="C465" s="1" t="s">
        <v>27</v>
      </c>
      <c r="D465" s="1" t="s">
        <v>20</v>
      </c>
      <c r="E465" s="1" t="s">
        <v>21</v>
      </c>
      <c r="F465" s="1" t="s">
        <v>53</v>
      </c>
      <c r="G465">
        <v>2262</v>
      </c>
      <c r="H465">
        <v>1</v>
      </c>
      <c r="I465">
        <v>1131</v>
      </c>
      <c r="J465">
        <v>23751</v>
      </c>
      <c r="K465" s="1" t="s">
        <v>373</v>
      </c>
      <c r="L465" s="2">
        <v>0.79027777777777775</v>
      </c>
      <c r="M465" s="1" t="s">
        <v>31</v>
      </c>
      <c r="N465">
        <v>2262</v>
      </c>
      <c r="O465">
        <v>4761904762</v>
      </c>
      <c r="P465">
        <v>1131</v>
      </c>
      <c r="Q465">
        <v>64</v>
      </c>
    </row>
    <row r="466" spans="1:17" x14ac:dyDescent="0.25">
      <c r="A466" s="1" t="s">
        <v>589</v>
      </c>
      <c r="B466" s="1" t="s">
        <v>18</v>
      </c>
      <c r="C466" s="1" t="s">
        <v>19</v>
      </c>
      <c r="D466" s="1" t="s">
        <v>20</v>
      </c>
      <c r="E466" s="1" t="s">
        <v>33</v>
      </c>
      <c r="F466" s="1" t="s">
        <v>53</v>
      </c>
      <c r="G466">
        <v>5134</v>
      </c>
      <c r="H466">
        <v>5</v>
      </c>
      <c r="I466">
        <v>12835</v>
      </c>
      <c r="J466">
        <v>269535</v>
      </c>
      <c r="K466" s="1" t="s">
        <v>201</v>
      </c>
      <c r="L466" s="2">
        <v>0.64652777777777781</v>
      </c>
      <c r="M466" s="1" t="s">
        <v>36</v>
      </c>
      <c r="N466">
        <v>2567</v>
      </c>
      <c r="O466">
        <v>4761904762</v>
      </c>
      <c r="P466">
        <v>12835</v>
      </c>
      <c r="Q466">
        <v>91</v>
      </c>
    </row>
    <row r="467" spans="1:17" x14ac:dyDescent="0.25">
      <c r="A467" s="1" t="s">
        <v>590</v>
      </c>
      <c r="B467" s="1" t="s">
        <v>26</v>
      </c>
      <c r="C467" s="1" t="s">
        <v>27</v>
      </c>
      <c r="D467" s="1" t="s">
        <v>20</v>
      </c>
      <c r="E467" s="1" t="s">
        <v>21</v>
      </c>
      <c r="F467" s="1" t="s">
        <v>40</v>
      </c>
      <c r="G467">
        <v>5455</v>
      </c>
      <c r="H467">
        <v>10</v>
      </c>
      <c r="I467">
        <v>27275</v>
      </c>
      <c r="J467">
        <v>572775</v>
      </c>
      <c r="K467" s="1" t="s">
        <v>83</v>
      </c>
      <c r="L467" s="2">
        <v>0.47361111111111109</v>
      </c>
      <c r="M467" s="1" t="s">
        <v>36</v>
      </c>
      <c r="N467">
        <v>5455</v>
      </c>
      <c r="O467">
        <v>4761904762</v>
      </c>
      <c r="P467">
        <v>27275</v>
      </c>
      <c r="Q467">
        <v>71</v>
      </c>
    </row>
    <row r="468" spans="1:17" x14ac:dyDescent="0.25">
      <c r="A468" s="1" t="s">
        <v>591</v>
      </c>
      <c r="B468" s="1" t="s">
        <v>26</v>
      </c>
      <c r="C468" s="1" t="s">
        <v>27</v>
      </c>
      <c r="D468" s="1" t="s">
        <v>20</v>
      </c>
      <c r="E468" s="1" t="s">
        <v>21</v>
      </c>
      <c r="F468" s="1" t="s">
        <v>22</v>
      </c>
      <c r="G468">
        <v>3715</v>
      </c>
      <c r="H468">
        <v>7</v>
      </c>
      <c r="I468">
        <v>130025</v>
      </c>
      <c r="J468">
        <v>2730525</v>
      </c>
      <c r="K468" s="1" t="s">
        <v>41</v>
      </c>
      <c r="L468" s="2">
        <v>0.55000000000000004</v>
      </c>
      <c r="M468" s="1" t="s">
        <v>36</v>
      </c>
      <c r="N468">
        <v>26005</v>
      </c>
      <c r="O468">
        <v>4761904762</v>
      </c>
      <c r="P468">
        <v>130025</v>
      </c>
      <c r="Q468">
        <v>77</v>
      </c>
    </row>
    <row r="469" spans="1:17" x14ac:dyDescent="0.25">
      <c r="A469" s="1" t="s">
        <v>592</v>
      </c>
      <c r="B469" s="1" t="s">
        <v>51</v>
      </c>
      <c r="C469" s="1" t="s">
        <v>52</v>
      </c>
      <c r="D469" s="1" t="s">
        <v>28</v>
      </c>
      <c r="E469" s="1" t="s">
        <v>33</v>
      </c>
      <c r="F469" s="1" t="s">
        <v>40</v>
      </c>
      <c r="G469">
        <v>3702</v>
      </c>
      <c r="H469">
        <v>6</v>
      </c>
      <c r="I469">
        <v>11106</v>
      </c>
      <c r="J469">
        <v>233226</v>
      </c>
      <c r="K469" s="1" t="s">
        <v>85</v>
      </c>
      <c r="L469" s="2">
        <v>0.7729166666666667</v>
      </c>
      <c r="M469" s="1" t="s">
        <v>31</v>
      </c>
      <c r="N469">
        <v>22212</v>
      </c>
      <c r="O469">
        <v>4761904762</v>
      </c>
      <c r="P469">
        <v>11106</v>
      </c>
      <c r="Q469">
        <v>45</v>
      </c>
    </row>
    <row r="470" spans="1:17" x14ac:dyDescent="0.25">
      <c r="A470" s="1" t="s">
        <v>593</v>
      </c>
      <c r="B470" s="1" t="s">
        <v>26</v>
      </c>
      <c r="C470" s="1" t="s">
        <v>27</v>
      </c>
      <c r="D470" s="1" t="s">
        <v>28</v>
      </c>
      <c r="E470" s="1" t="s">
        <v>33</v>
      </c>
      <c r="F470" s="1" t="s">
        <v>53</v>
      </c>
      <c r="G470">
        <v>2158</v>
      </c>
      <c r="H470">
        <v>1</v>
      </c>
      <c r="I470">
        <v>1079</v>
      </c>
      <c r="J470">
        <v>22659</v>
      </c>
      <c r="K470" s="1" t="s">
        <v>191</v>
      </c>
      <c r="L470" s="2">
        <v>0.41805555555555557</v>
      </c>
      <c r="M470" s="1" t="s">
        <v>24</v>
      </c>
      <c r="N470">
        <v>2158</v>
      </c>
      <c r="O470">
        <v>4761904762</v>
      </c>
      <c r="P470">
        <v>1079</v>
      </c>
      <c r="Q470">
        <v>72</v>
      </c>
    </row>
    <row r="471" spans="1:17" x14ac:dyDescent="0.25">
      <c r="A471" s="1" t="s">
        <v>594</v>
      </c>
      <c r="B471" s="1" t="s">
        <v>26</v>
      </c>
      <c r="C471" s="1" t="s">
        <v>27</v>
      </c>
      <c r="D471" s="1" t="s">
        <v>20</v>
      </c>
      <c r="E471" s="1" t="s">
        <v>21</v>
      </c>
      <c r="F471" s="1" t="s">
        <v>29</v>
      </c>
      <c r="G471">
        <v>9884</v>
      </c>
      <c r="H471">
        <v>1</v>
      </c>
      <c r="I471">
        <v>4942</v>
      </c>
      <c r="J471">
        <v>103782</v>
      </c>
      <c r="K471" s="1" t="s">
        <v>139</v>
      </c>
      <c r="L471" s="2">
        <v>0.47291666666666665</v>
      </c>
      <c r="M471" s="1" t="s">
        <v>31</v>
      </c>
      <c r="N471">
        <v>9884</v>
      </c>
      <c r="O471">
        <v>4761904762</v>
      </c>
      <c r="P471">
        <v>4942</v>
      </c>
      <c r="Q471">
        <v>84</v>
      </c>
    </row>
    <row r="472" spans="1:17" x14ac:dyDescent="0.25">
      <c r="A472" s="1" t="s">
        <v>595</v>
      </c>
      <c r="B472" s="1" t="s">
        <v>26</v>
      </c>
      <c r="C472" s="1" t="s">
        <v>27</v>
      </c>
      <c r="D472" s="1" t="s">
        <v>20</v>
      </c>
      <c r="E472" s="1" t="s">
        <v>21</v>
      </c>
      <c r="F472" s="1" t="s">
        <v>34</v>
      </c>
      <c r="G472">
        <v>8377</v>
      </c>
      <c r="H472">
        <v>6</v>
      </c>
      <c r="I472">
        <v>25131</v>
      </c>
      <c r="J472">
        <v>527751</v>
      </c>
      <c r="K472" s="1" t="s">
        <v>173</v>
      </c>
      <c r="L472" s="2">
        <v>0.50694444444444442</v>
      </c>
      <c r="M472" s="1" t="s">
        <v>24</v>
      </c>
      <c r="N472">
        <v>50262</v>
      </c>
      <c r="O472">
        <v>4761904762</v>
      </c>
      <c r="P472">
        <v>25131</v>
      </c>
      <c r="Q472">
        <v>54</v>
      </c>
    </row>
    <row r="473" spans="1:17" x14ac:dyDescent="0.25">
      <c r="A473" s="1" t="s">
        <v>596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40</v>
      </c>
      <c r="G473">
        <v>4005</v>
      </c>
      <c r="H473">
        <v>4</v>
      </c>
      <c r="I473">
        <v>801</v>
      </c>
      <c r="J473">
        <v>16821</v>
      </c>
      <c r="K473" s="1" t="s">
        <v>90</v>
      </c>
      <c r="L473" s="2">
        <v>0.4861111111111111</v>
      </c>
      <c r="M473" s="1" t="s">
        <v>31</v>
      </c>
      <c r="N473">
        <v>1602</v>
      </c>
      <c r="O473">
        <v>4761904762</v>
      </c>
      <c r="P473">
        <v>801</v>
      </c>
      <c r="Q473">
        <v>97</v>
      </c>
    </row>
    <row r="474" spans="1:17" x14ac:dyDescent="0.25">
      <c r="A474" s="1" t="s">
        <v>597</v>
      </c>
      <c r="B474" s="1" t="s">
        <v>18</v>
      </c>
      <c r="C474" s="1" t="s">
        <v>19</v>
      </c>
      <c r="D474" s="1" t="s">
        <v>20</v>
      </c>
      <c r="E474" s="1" t="s">
        <v>33</v>
      </c>
      <c r="F474" s="1" t="s">
        <v>56</v>
      </c>
      <c r="G474">
        <v>4313</v>
      </c>
      <c r="H474">
        <v>10</v>
      </c>
      <c r="I474">
        <v>21565</v>
      </c>
      <c r="J474">
        <v>452865</v>
      </c>
      <c r="K474" s="1" t="s">
        <v>108</v>
      </c>
      <c r="L474" s="2">
        <v>0.77152777777777781</v>
      </c>
      <c r="M474" s="1" t="s">
        <v>36</v>
      </c>
      <c r="N474">
        <v>4313</v>
      </c>
      <c r="O474">
        <v>4761904762</v>
      </c>
      <c r="P474">
        <v>21565</v>
      </c>
      <c r="Q474">
        <v>55</v>
      </c>
    </row>
    <row r="475" spans="1:17" x14ac:dyDescent="0.25">
      <c r="A475" s="1" t="s">
        <v>598</v>
      </c>
      <c r="B475" s="1" t="s">
        <v>51</v>
      </c>
      <c r="C475" s="1" t="s">
        <v>52</v>
      </c>
      <c r="D475" s="1" t="s">
        <v>20</v>
      </c>
      <c r="E475" s="1" t="s">
        <v>33</v>
      </c>
      <c r="F475" s="1" t="s">
        <v>22</v>
      </c>
      <c r="G475">
        <v>7257</v>
      </c>
      <c r="H475">
        <v>8</v>
      </c>
      <c r="I475">
        <v>29028</v>
      </c>
      <c r="J475">
        <v>609588</v>
      </c>
      <c r="K475" s="1" t="s">
        <v>268</v>
      </c>
      <c r="L475" s="2">
        <v>0.74861111111111112</v>
      </c>
      <c r="M475" s="1" t="s">
        <v>31</v>
      </c>
      <c r="N475">
        <v>58056</v>
      </c>
      <c r="O475">
        <v>4761904762</v>
      </c>
      <c r="P475">
        <v>29028</v>
      </c>
      <c r="Q475">
        <v>46</v>
      </c>
    </row>
    <row r="476" spans="1:17" x14ac:dyDescent="0.25">
      <c r="A476" s="1" t="s">
        <v>599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29</v>
      </c>
      <c r="G476">
        <v>6444</v>
      </c>
      <c r="H476">
        <v>5</v>
      </c>
      <c r="I476">
        <v>1611</v>
      </c>
      <c r="J476">
        <v>33831</v>
      </c>
      <c r="K476" s="1" t="s">
        <v>268</v>
      </c>
      <c r="L476" s="2">
        <v>0.71111111111111114</v>
      </c>
      <c r="M476" s="1" t="s">
        <v>31</v>
      </c>
      <c r="N476">
        <v>3222</v>
      </c>
      <c r="O476">
        <v>4761904762</v>
      </c>
      <c r="P476">
        <v>1611</v>
      </c>
      <c r="Q476">
        <v>66</v>
      </c>
    </row>
    <row r="477" spans="1:17" x14ac:dyDescent="0.25">
      <c r="A477" s="1" t="s">
        <v>600</v>
      </c>
      <c r="B477" s="1" t="s">
        <v>18</v>
      </c>
      <c r="C477" s="1" t="s">
        <v>19</v>
      </c>
      <c r="D477" s="1" t="s">
        <v>28</v>
      </c>
      <c r="E477" s="1" t="s">
        <v>33</v>
      </c>
      <c r="F477" s="1" t="s">
        <v>22</v>
      </c>
      <c r="G477">
        <v>6518</v>
      </c>
      <c r="H477">
        <v>3</v>
      </c>
      <c r="I477">
        <v>9777</v>
      </c>
      <c r="J477">
        <v>205317</v>
      </c>
      <c r="K477" s="1" t="s">
        <v>45</v>
      </c>
      <c r="L477" s="2">
        <v>0.85763888888888884</v>
      </c>
      <c r="M477" s="1" t="s">
        <v>36</v>
      </c>
      <c r="N477">
        <v>19554</v>
      </c>
      <c r="O477">
        <v>4761904762</v>
      </c>
      <c r="P477">
        <v>9777</v>
      </c>
      <c r="Q477">
        <v>63</v>
      </c>
    </row>
    <row r="478" spans="1:17" x14ac:dyDescent="0.25">
      <c r="A478" s="1" t="s">
        <v>601</v>
      </c>
      <c r="B478" s="1" t="s">
        <v>18</v>
      </c>
      <c r="C478" s="1" t="s">
        <v>19</v>
      </c>
      <c r="D478" s="1" t="s">
        <v>28</v>
      </c>
      <c r="E478" s="1" t="s">
        <v>21</v>
      </c>
      <c r="F478" s="1" t="s">
        <v>40</v>
      </c>
      <c r="G478">
        <v>3326</v>
      </c>
      <c r="H478">
        <v>5</v>
      </c>
      <c r="I478">
        <v>8315</v>
      </c>
      <c r="J478">
        <v>174615</v>
      </c>
      <c r="K478" s="1" t="s">
        <v>323</v>
      </c>
      <c r="L478" s="2">
        <v>0.67361111111111116</v>
      </c>
      <c r="M478" s="1" t="s">
        <v>36</v>
      </c>
      <c r="N478">
        <v>1663</v>
      </c>
      <c r="O478">
        <v>4761904762</v>
      </c>
      <c r="P478">
        <v>8315</v>
      </c>
      <c r="Q478">
        <v>42</v>
      </c>
    </row>
    <row r="479" spans="1:17" x14ac:dyDescent="0.25">
      <c r="A479" s="1" t="s">
        <v>602</v>
      </c>
      <c r="B479" s="1" t="s">
        <v>26</v>
      </c>
      <c r="C479" s="1" t="s">
        <v>27</v>
      </c>
      <c r="D479" s="1" t="s">
        <v>28</v>
      </c>
      <c r="E479" s="1" t="s">
        <v>33</v>
      </c>
      <c r="F479" s="1" t="s">
        <v>29</v>
      </c>
      <c r="G479">
        <v>8407</v>
      </c>
      <c r="H479">
        <v>4</v>
      </c>
      <c r="I479">
        <v>16814</v>
      </c>
      <c r="J479">
        <v>353094</v>
      </c>
      <c r="K479" s="1" t="s">
        <v>128</v>
      </c>
      <c r="L479" s="2">
        <v>0.70416666666666672</v>
      </c>
      <c r="M479" s="1" t="s">
        <v>24</v>
      </c>
      <c r="N479">
        <v>33628</v>
      </c>
      <c r="O479">
        <v>4761904762</v>
      </c>
      <c r="P479">
        <v>16814</v>
      </c>
      <c r="Q479">
        <v>44</v>
      </c>
    </row>
    <row r="480" spans="1:17" x14ac:dyDescent="0.25">
      <c r="A480" s="1" t="s">
        <v>603</v>
      </c>
      <c r="B480" s="1" t="s">
        <v>51</v>
      </c>
      <c r="C480" s="1" t="s">
        <v>52</v>
      </c>
      <c r="D480" s="1" t="s">
        <v>28</v>
      </c>
      <c r="E480" s="1" t="s">
        <v>33</v>
      </c>
      <c r="F480" s="1" t="s">
        <v>40</v>
      </c>
      <c r="G480">
        <v>3437</v>
      </c>
      <c r="H480">
        <v>10</v>
      </c>
      <c r="I480">
        <v>17185</v>
      </c>
      <c r="J480">
        <v>360885</v>
      </c>
      <c r="K480" s="1" t="s">
        <v>113</v>
      </c>
      <c r="L480" s="2">
        <v>0.42430555555555555</v>
      </c>
      <c r="M480" s="1" t="s">
        <v>24</v>
      </c>
      <c r="N480">
        <v>3437</v>
      </c>
      <c r="O480">
        <v>4761904762</v>
      </c>
      <c r="P480">
        <v>17185</v>
      </c>
      <c r="Q480">
        <v>67</v>
      </c>
    </row>
    <row r="481" spans="1:17" x14ac:dyDescent="0.25">
      <c r="A481" s="1" t="s">
        <v>604</v>
      </c>
      <c r="B481" s="1" t="s">
        <v>18</v>
      </c>
      <c r="C481" s="1" t="s">
        <v>19</v>
      </c>
      <c r="D481" s="1" t="s">
        <v>28</v>
      </c>
      <c r="E481" s="1" t="s">
        <v>33</v>
      </c>
      <c r="F481" s="1" t="s">
        <v>29</v>
      </c>
      <c r="G481">
        <v>386</v>
      </c>
      <c r="H481">
        <v>1</v>
      </c>
      <c r="I481">
        <v>193</v>
      </c>
      <c r="J481">
        <v>4053</v>
      </c>
      <c r="K481" s="1" t="s">
        <v>260</v>
      </c>
      <c r="L481" s="2">
        <v>0.47638888888888886</v>
      </c>
      <c r="M481" s="1" t="s">
        <v>24</v>
      </c>
      <c r="N481">
        <v>386</v>
      </c>
      <c r="O481">
        <v>4761904762</v>
      </c>
      <c r="P481">
        <v>193</v>
      </c>
      <c r="Q481">
        <v>67</v>
      </c>
    </row>
    <row r="482" spans="1:17" x14ac:dyDescent="0.25">
      <c r="A482" s="1" t="s">
        <v>605</v>
      </c>
      <c r="B482" s="1" t="s">
        <v>26</v>
      </c>
      <c r="C482" s="1" t="s">
        <v>27</v>
      </c>
      <c r="D482" s="1" t="s">
        <v>28</v>
      </c>
      <c r="E482" s="1" t="s">
        <v>33</v>
      </c>
      <c r="F482" s="1" t="s">
        <v>53</v>
      </c>
      <c r="G482">
        <v>6597</v>
      </c>
      <c r="H482">
        <v>8</v>
      </c>
      <c r="I482">
        <v>26388</v>
      </c>
      <c r="J482">
        <v>554148</v>
      </c>
      <c r="K482" s="1" t="s">
        <v>108</v>
      </c>
      <c r="L482" s="2">
        <v>0.85347222222222219</v>
      </c>
      <c r="M482" s="1" t="s">
        <v>31</v>
      </c>
      <c r="N482">
        <v>52776</v>
      </c>
      <c r="O482">
        <v>4761904762</v>
      </c>
      <c r="P482">
        <v>26388</v>
      </c>
      <c r="Q482">
        <v>84</v>
      </c>
    </row>
    <row r="483" spans="1:17" x14ac:dyDescent="0.25">
      <c r="A483" s="1" t="s">
        <v>606</v>
      </c>
      <c r="B483" s="1" t="s">
        <v>26</v>
      </c>
      <c r="C483" s="1" t="s">
        <v>27</v>
      </c>
      <c r="D483" s="1" t="s">
        <v>28</v>
      </c>
      <c r="E483" s="1" t="s">
        <v>21</v>
      </c>
      <c r="F483" s="1" t="s">
        <v>29</v>
      </c>
      <c r="G483">
        <v>328</v>
      </c>
      <c r="H483">
        <v>10</v>
      </c>
      <c r="I483">
        <v>164</v>
      </c>
      <c r="J483">
        <v>3444</v>
      </c>
      <c r="K483" s="1" t="s">
        <v>139</v>
      </c>
      <c r="L483" s="2">
        <v>0.5083333333333333</v>
      </c>
      <c r="M483" s="1" t="s">
        <v>31</v>
      </c>
      <c r="N483">
        <v>328</v>
      </c>
      <c r="O483">
        <v>4761904762</v>
      </c>
      <c r="P483">
        <v>164</v>
      </c>
      <c r="Q483">
        <v>62</v>
      </c>
    </row>
    <row r="484" spans="1:17" x14ac:dyDescent="0.25">
      <c r="A484" s="1" t="s">
        <v>607</v>
      </c>
      <c r="B484" s="1" t="s">
        <v>18</v>
      </c>
      <c r="C484" s="1" t="s">
        <v>19</v>
      </c>
      <c r="D484" s="1" t="s">
        <v>28</v>
      </c>
      <c r="E484" s="1" t="s">
        <v>33</v>
      </c>
      <c r="F484" s="1" t="s">
        <v>40</v>
      </c>
      <c r="G484">
        <v>3714</v>
      </c>
      <c r="H484">
        <v>5</v>
      </c>
      <c r="I484">
        <v>9285</v>
      </c>
      <c r="J484">
        <v>194985</v>
      </c>
      <c r="K484" s="1" t="s">
        <v>230</v>
      </c>
      <c r="L484" s="2">
        <v>0.54513888888888884</v>
      </c>
      <c r="M484" s="1" t="s">
        <v>24</v>
      </c>
      <c r="N484">
        <v>1857</v>
      </c>
      <c r="O484">
        <v>4761904762</v>
      </c>
      <c r="P484">
        <v>9285</v>
      </c>
      <c r="Q484">
        <v>5</v>
      </c>
    </row>
    <row r="485" spans="1:17" x14ac:dyDescent="0.25">
      <c r="A485" s="1" t="s">
        <v>608</v>
      </c>
      <c r="B485" s="1" t="s">
        <v>51</v>
      </c>
      <c r="C485" s="1" t="s">
        <v>52</v>
      </c>
      <c r="D485" s="1" t="s">
        <v>20</v>
      </c>
      <c r="E485" s="1" t="s">
        <v>33</v>
      </c>
      <c r="F485" s="1" t="s">
        <v>34</v>
      </c>
      <c r="G485">
        <v>6038</v>
      </c>
      <c r="H485">
        <v>10</v>
      </c>
      <c r="I485">
        <v>3019</v>
      </c>
      <c r="J485">
        <v>63399</v>
      </c>
      <c r="K485" s="1" t="s">
        <v>61</v>
      </c>
      <c r="L485" s="2">
        <v>0.67986111111111114</v>
      </c>
      <c r="M485" s="1" t="s">
        <v>31</v>
      </c>
      <c r="N485">
        <v>6038</v>
      </c>
      <c r="O485">
        <v>4761904762</v>
      </c>
      <c r="P485">
        <v>3019</v>
      </c>
      <c r="Q485">
        <v>6</v>
      </c>
    </row>
    <row r="486" spans="1:17" x14ac:dyDescent="0.25">
      <c r="A486" s="1" t="s">
        <v>609</v>
      </c>
      <c r="B486" s="1" t="s">
        <v>26</v>
      </c>
      <c r="C486" s="1" t="s">
        <v>27</v>
      </c>
      <c r="D486" s="1" t="s">
        <v>20</v>
      </c>
      <c r="E486" s="1" t="s">
        <v>21</v>
      </c>
      <c r="F486" s="1" t="s">
        <v>40</v>
      </c>
      <c r="G486">
        <v>3698</v>
      </c>
      <c r="H486">
        <v>10</v>
      </c>
      <c r="I486">
        <v>1849</v>
      </c>
      <c r="J486">
        <v>38829</v>
      </c>
      <c r="K486" s="1" t="s">
        <v>71</v>
      </c>
      <c r="L486" s="2">
        <v>0.82499999999999996</v>
      </c>
      <c r="M486" s="1" t="s">
        <v>36</v>
      </c>
      <c r="N486">
        <v>3698</v>
      </c>
      <c r="O486">
        <v>4761904762</v>
      </c>
      <c r="P486">
        <v>1849</v>
      </c>
      <c r="Q486">
        <v>7</v>
      </c>
    </row>
    <row r="487" spans="1:17" x14ac:dyDescent="0.25">
      <c r="A487" s="1" t="s">
        <v>610</v>
      </c>
      <c r="B487" s="1" t="s">
        <v>51</v>
      </c>
      <c r="C487" s="1" t="s">
        <v>52</v>
      </c>
      <c r="D487" s="1" t="s">
        <v>20</v>
      </c>
      <c r="E487" s="1" t="s">
        <v>21</v>
      </c>
      <c r="F487" s="1" t="s">
        <v>40</v>
      </c>
      <c r="G487">
        <v>4949</v>
      </c>
      <c r="H487">
        <v>4</v>
      </c>
      <c r="I487">
        <v>9898</v>
      </c>
      <c r="J487">
        <v>207858</v>
      </c>
      <c r="K487" s="1" t="s">
        <v>288</v>
      </c>
      <c r="L487" s="2">
        <v>0.64236111111111116</v>
      </c>
      <c r="M487" s="1" t="s">
        <v>24</v>
      </c>
      <c r="N487">
        <v>19796</v>
      </c>
      <c r="O487">
        <v>4761904762</v>
      </c>
      <c r="P487">
        <v>9898</v>
      </c>
      <c r="Q487">
        <v>66</v>
      </c>
    </row>
    <row r="488" spans="1:17" x14ac:dyDescent="0.25">
      <c r="A488" s="1" t="s">
        <v>611</v>
      </c>
      <c r="B488" s="1" t="s">
        <v>51</v>
      </c>
      <c r="C488" s="1" t="s">
        <v>52</v>
      </c>
      <c r="D488" s="1" t="s">
        <v>28</v>
      </c>
      <c r="E488" s="1" t="s">
        <v>21</v>
      </c>
      <c r="F488" s="1" t="s">
        <v>56</v>
      </c>
      <c r="G488">
        <v>4109</v>
      </c>
      <c r="H488">
        <v>10</v>
      </c>
      <c r="I488">
        <v>20545</v>
      </c>
      <c r="J488">
        <v>431445</v>
      </c>
      <c r="K488" s="1" t="s">
        <v>130</v>
      </c>
      <c r="L488" s="2">
        <v>0.61250000000000004</v>
      </c>
      <c r="M488" s="1" t="s">
        <v>31</v>
      </c>
      <c r="N488">
        <v>4109</v>
      </c>
      <c r="O488">
        <v>4761904762</v>
      </c>
      <c r="P488">
        <v>20545</v>
      </c>
      <c r="Q488">
        <v>73</v>
      </c>
    </row>
    <row r="489" spans="1:17" x14ac:dyDescent="0.25">
      <c r="A489" s="1" t="s">
        <v>612</v>
      </c>
      <c r="B489" s="1" t="s">
        <v>18</v>
      </c>
      <c r="C489" s="1" t="s">
        <v>19</v>
      </c>
      <c r="D489" s="1" t="s">
        <v>28</v>
      </c>
      <c r="E489" s="1" t="s">
        <v>33</v>
      </c>
      <c r="F489" s="1" t="s">
        <v>56</v>
      </c>
      <c r="G489">
        <v>3715</v>
      </c>
      <c r="H489">
        <v>4</v>
      </c>
      <c r="I489">
        <v>743</v>
      </c>
      <c r="J489">
        <v>15603</v>
      </c>
      <c r="K489" s="1" t="s">
        <v>103</v>
      </c>
      <c r="L489" s="2">
        <v>0.79097222222222219</v>
      </c>
      <c r="M489" s="1" t="s">
        <v>24</v>
      </c>
      <c r="N489">
        <v>1486</v>
      </c>
      <c r="O489">
        <v>4761904762</v>
      </c>
      <c r="P489">
        <v>743</v>
      </c>
      <c r="Q489">
        <v>83</v>
      </c>
    </row>
    <row r="490" spans="1:17" x14ac:dyDescent="0.25">
      <c r="A490" s="1" t="s">
        <v>613</v>
      </c>
      <c r="B490" s="1" t="s">
        <v>26</v>
      </c>
      <c r="C490" s="1" t="s">
        <v>27</v>
      </c>
      <c r="D490" s="1" t="s">
        <v>28</v>
      </c>
      <c r="E490" s="1" t="s">
        <v>33</v>
      </c>
      <c r="F490" s="1" t="s">
        <v>34</v>
      </c>
      <c r="G490">
        <v>2296</v>
      </c>
      <c r="H490">
        <v>1</v>
      </c>
      <c r="I490">
        <v>1148</v>
      </c>
      <c r="J490">
        <v>24108</v>
      </c>
      <c r="K490" s="1" t="s">
        <v>274</v>
      </c>
      <c r="L490" s="2">
        <v>0.86597222222222225</v>
      </c>
      <c r="M490" s="1" t="s">
        <v>31</v>
      </c>
      <c r="N490">
        <v>2296</v>
      </c>
      <c r="O490">
        <v>4761904762</v>
      </c>
      <c r="P490">
        <v>1148</v>
      </c>
      <c r="Q490">
        <v>43</v>
      </c>
    </row>
    <row r="491" spans="1:17" x14ac:dyDescent="0.25">
      <c r="A491" s="1" t="s">
        <v>614</v>
      </c>
      <c r="B491" s="1" t="s">
        <v>51</v>
      </c>
      <c r="C491" s="1" t="s">
        <v>52</v>
      </c>
      <c r="D491" s="1" t="s">
        <v>20</v>
      </c>
      <c r="E491" s="1" t="s">
        <v>21</v>
      </c>
      <c r="F491" s="1" t="s">
        <v>34</v>
      </c>
      <c r="G491">
        <v>7768</v>
      </c>
      <c r="H491">
        <v>9</v>
      </c>
      <c r="I491">
        <v>34956</v>
      </c>
      <c r="J491">
        <v>734076</v>
      </c>
      <c r="K491" s="1" t="s">
        <v>470</v>
      </c>
      <c r="L491" s="2">
        <v>0.55625000000000002</v>
      </c>
      <c r="M491" s="1" t="s">
        <v>24</v>
      </c>
      <c r="N491">
        <v>69912</v>
      </c>
      <c r="O491">
        <v>4761904762</v>
      </c>
      <c r="P491">
        <v>34956</v>
      </c>
      <c r="Q491">
        <v>98</v>
      </c>
    </row>
    <row r="492" spans="1:17" x14ac:dyDescent="0.25">
      <c r="A492" s="1" t="s">
        <v>615</v>
      </c>
      <c r="B492" s="1" t="s">
        <v>51</v>
      </c>
      <c r="C492" s="1" t="s">
        <v>52</v>
      </c>
      <c r="D492" s="1" t="s">
        <v>28</v>
      </c>
      <c r="E492" s="1" t="s">
        <v>21</v>
      </c>
      <c r="F492" s="1" t="s">
        <v>56</v>
      </c>
      <c r="G492">
        <v>347</v>
      </c>
      <c r="H492">
        <v>2</v>
      </c>
      <c r="I492">
        <v>347</v>
      </c>
      <c r="J492">
        <v>7287</v>
      </c>
      <c r="K492" s="1" t="s">
        <v>147</v>
      </c>
      <c r="L492" s="2">
        <v>0.82499999999999996</v>
      </c>
      <c r="M492" s="1" t="s">
        <v>24</v>
      </c>
      <c r="N492">
        <v>694</v>
      </c>
      <c r="O492">
        <v>4761904762</v>
      </c>
      <c r="P492">
        <v>347</v>
      </c>
      <c r="Q492">
        <v>82</v>
      </c>
    </row>
    <row r="493" spans="1:17" x14ac:dyDescent="0.25">
      <c r="A493" s="1" t="s">
        <v>616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56</v>
      </c>
      <c r="G493">
        <v>1966</v>
      </c>
      <c r="H493">
        <v>10</v>
      </c>
      <c r="I493">
        <v>983</v>
      </c>
      <c r="J493">
        <v>20643</v>
      </c>
      <c r="K493" s="1" t="s">
        <v>79</v>
      </c>
      <c r="L493" s="2">
        <v>0.76388888888888884</v>
      </c>
      <c r="M493" s="1" t="s">
        <v>36</v>
      </c>
      <c r="N493">
        <v>1966</v>
      </c>
      <c r="O493">
        <v>4761904762</v>
      </c>
      <c r="P493">
        <v>983</v>
      </c>
      <c r="Q493">
        <v>72</v>
      </c>
    </row>
    <row r="494" spans="1:17" x14ac:dyDescent="0.25">
      <c r="A494" s="1" t="s">
        <v>617</v>
      </c>
      <c r="B494" s="1" t="s">
        <v>51</v>
      </c>
      <c r="C494" s="1" t="s">
        <v>52</v>
      </c>
      <c r="D494" s="1" t="s">
        <v>20</v>
      </c>
      <c r="E494" s="1" t="s">
        <v>21</v>
      </c>
      <c r="F494" s="1" t="s">
        <v>22</v>
      </c>
      <c r="G494">
        <v>2532</v>
      </c>
      <c r="H494">
        <v>8</v>
      </c>
      <c r="I494">
        <v>10128</v>
      </c>
      <c r="J494">
        <v>212688</v>
      </c>
      <c r="K494" s="1" t="s">
        <v>77</v>
      </c>
      <c r="L494" s="2">
        <v>0.85</v>
      </c>
      <c r="M494" s="1" t="s">
        <v>24</v>
      </c>
      <c r="N494">
        <v>20256</v>
      </c>
      <c r="O494">
        <v>4761904762</v>
      </c>
      <c r="P494">
        <v>10128</v>
      </c>
      <c r="Q494">
        <v>87</v>
      </c>
    </row>
    <row r="495" spans="1:17" x14ac:dyDescent="0.25">
      <c r="A495" s="1" t="s">
        <v>618</v>
      </c>
      <c r="B495" s="1" t="s">
        <v>26</v>
      </c>
      <c r="C495" s="1" t="s">
        <v>27</v>
      </c>
      <c r="D495" s="1" t="s">
        <v>20</v>
      </c>
      <c r="E495" s="1" t="s">
        <v>21</v>
      </c>
      <c r="F495" s="1" t="s">
        <v>34</v>
      </c>
      <c r="G495">
        <v>1212</v>
      </c>
      <c r="H495">
        <v>10</v>
      </c>
      <c r="I495">
        <v>606</v>
      </c>
      <c r="J495">
        <v>12726</v>
      </c>
      <c r="K495" s="1" t="s">
        <v>77</v>
      </c>
      <c r="L495" s="2">
        <v>0.57222222222222219</v>
      </c>
      <c r="M495" s="1" t="s">
        <v>36</v>
      </c>
      <c r="N495">
        <v>1212</v>
      </c>
      <c r="O495">
        <v>4761904762</v>
      </c>
      <c r="P495">
        <v>606</v>
      </c>
      <c r="Q495">
        <v>84</v>
      </c>
    </row>
    <row r="496" spans="1:17" x14ac:dyDescent="0.25">
      <c r="A496" s="1" t="s">
        <v>619</v>
      </c>
      <c r="B496" s="1" t="s">
        <v>51</v>
      </c>
      <c r="C496" s="1" t="s">
        <v>52</v>
      </c>
      <c r="D496" s="1" t="s">
        <v>28</v>
      </c>
      <c r="E496" s="1" t="s">
        <v>33</v>
      </c>
      <c r="F496" s="1" t="s">
        <v>56</v>
      </c>
      <c r="G496">
        <v>9989</v>
      </c>
      <c r="H496">
        <v>2</v>
      </c>
      <c r="I496">
        <v>9989</v>
      </c>
      <c r="J496">
        <v>209769</v>
      </c>
      <c r="K496" s="1" t="s">
        <v>349</v>
      </c>
      <c r="L496" s="2">
        <v>0.49166666666666664</v>
      </c>
      <c r="M496" s="1" t="s">
        <v>24</v>
      </c>
      <c r="N496">
        <v>19978</v>
      </c>
      <c r="O496">
        <v>4761904762</v>
      </c>
      <c r="P496">
        <v>9989</v>
      </c>
      <c r="Q496">
        <v>71</v>
      </c>
    </row>
    <row r="497" spans="1:17" x14ac:dyDescent="0.25">
      <c r="A497" s="1" t="s">
        <v>620</v>
      </c>
      <c r="B497" s="1" t="s">
        <v>51</v>
      </c>
      <c r="C497" s="1" t="s">
        <v>52</v>
      </c>
      <c r="D497" s="1" t="s">
        <v>28</v>
      </c>
      <c r="E497" s="1" t="s">
        <v>33</v>
      </c>
      <c r="F497" s="1" t="s">
        <v>40</v>
      </c>
      <c r="G497">
        <v>7592</v>
      </c>
      <c r="H497">
        <v>8</v>
      </c>
      <c r="I497">
        <v>30368</v>
      </c>
      <c r="J497">
        <v>637728</v>
      </c>
      <c r="K497" s="1" t="s">
        <v>329</v>
      </c>
      <c r="L497" s="2">
        <v>0.59305555555555556</v>
      </c>
      <c r="M497" s="1" t="s">
        <v>31</v>
      </c>
      <c r="N497">
        <v>60736</v>
      </c>
      <c r="O497">
        <v>4761904762</v>
      </c>
      <c r="P497">
        <v>30368</v>
      </c>
      <c r="Q497">
        <v>55</v>
      </c>
    </row>
    <row r="498" spans="1:17" x14ac:dyDescent="0.25">
      <c r="A498" s="1" t="s">
        <v>621</v>
      </c>
      <c r="B498" s="1" t="s">
        <v>26</v>
      </c>
      <c r="C498" s="1" t="s">
        <v>27</v>
      </c>
      <c r="D498" s="1" t="s">
        <v>28</v>
      </c>
      <c r="E498" s="1" t="s">
        <v>21</v>
      </c>
      <c r="F498" s="1" t="s">
        <v>29</v>
      </c>
      <c r="G498">
        <v>6322</v>
      </c>
      <c r="H498">
        <v>2</v>
      </c>
      <c r="I498">
        <v>6322</v>
      </c>
      <c r="J498">
        <v>132762</v>
      </c>
      <c r="K498" s="1" t="s">
        <v>71</v>
      </c>
      <c r="L498" s="2">
        <v>0.66041666666666665</v>
      </c>
      <c r="M498" s="1" t="s">
        <v>31</v>
      </c>
      <c r="N498">
        <v>12644</v>
      </c>
      <c r="O498">
        <v>4761904762</v>
      </c>
      <c r="P498">
        <v>6322</v>
      </c>
      <c r="Q498">
        <v>85</v>
      </c>
    </row>
    <row r="499" spans="1:17" x14ac:dyDescent="0.25">
      <c r="A499" s="1" t="s">
        <v>622</v>
      </c>
      <c r="B499" s="1" t="s">
        <v>26</v>
      </c>
      <c r="C499" s="1" t="s">
        <v>27</v>
      </c>
      <c r="D499" s="1" t="s">
        <v>28</v>
      </c>
      <c r="E499" s="1" t="s">
        <v>21</v>
      </c>
      <c r="F499" s="1" t="s">
        <v>53</v>
      </c>
      <c r="G499">
        <v>9024</v>
      </c>
      <c r="H499">
        <v>6</v>
      </c>
      <c r="I499">
        <v>27072</v>
      </c>
      <c r="J499">
        <v>568512</v>
      </c>
      <c r="K499" s="1" t="s">
        <v>38</v>
      </c>
      <c r="L499" s="2">
        <v>0.47013888888888888</v>
      </c>
      <c r="M499" s="1" t="s">
        <v>31</v>
      </c>
      <c r="N499">
        <v>54144</v>
      </c>
      <c r="O499">
        <v>4761904762</v>
      </c>
      <c r="P499">
        <v>27072</v>
      </c>
      <c r="Q499">
        <v>62</v>
      </c>
    </row>
    <row r="500" spans="1:17" x14ac:dyDescent="0.25">
      <c r="A500" s="1" t="s">
        <v>623</v>
      </c>
      <c r="B500" s="1" t="s">
        <v>51</v>
      </c>
      <c r="C500" s="1" t="s">
        <v>52</v>
      </c>
      <c r="D500" s="1" t="s">
        <v>20</v>
      </c>
      <c r="E500" s="1" t="s">
        <v>21</v>
      </c>
      <c r="F500" s="1" t="s">
        <v>40</v>
      </c>
      <c r="G500">
        <v>9813</v>
      </c>
      <c r="H500">
        <v>1</v>
      </c>
      <c r="I500">
        <v>49065</v>
      </c>
      <c r="J500">
        <v>1030365</v>
      </c>
      <c r="K500" s="1" t="s">
        <v>73</v>
      </c>
      <c r="L500" s="2">
        <v>0.73333333333333328</v>
      </c>
      <c r="M500" s="1" t="s">
        <v>31</v>
      </c>
      <c r="N500">
        <v>9813</v>
      </c>
      <c r="O500">
        <v>4761904762</v>
      </c>
      <c r="P500">
        <v>49065</v>
      </c>
      <c r="Q500">
        <v>89</v>
      </c>
    </row>
    <row r="501" spans="1:17" x14ac:dyDescent="0.25">
      <c r="A501" s="1" t="s">
        <v>624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40</v>
      </c>
      <c r="G501">
        <v>5152</v>
      </c>
      <c r="H501">
        <v>8</v>
      </c>
      <c r="I501">
        <v>20608</v>
      </c>
      <c r="J501">
        <v>432768</v>
      </c>
      <c r="K501" s="1" t="s">
        <v>108</v>
      </c>
      <c r="L501" s="2">
        <v>0.65763888888888888</v>
      </c>
      <c r="M501" s="1" t="s">
        <v>31</v>
      </c>
      <c r="N501">
        <v>41216</v>
      </c>
      <c r="O501">
        <v>4761904762</v>
      </c>
      <c r="P501">
        <v>20608</v>
      </c>
      <c r="Q501">
        <v>96</v>
      </c>
    </row>
    <row r="502" spans="1:17" x14ac:dyDescent="0.25">
      <c r="A502" s="1" t="s">
        <v>625</v>
      </c>
      <c r="B502" s="1" t="s">
        <v>51</v>
      </c>
      <c r="C502" s="1" t="s">
        <v>52</v>
      </c>
      <c r="D502" s="1" t="s">
        <v>20</v>
      </c>
      <c r="E502" s="1" t="s">
        <v>33</v>
      </c>
      <c r="F502" s="1" t="s">
        <v>40</v>
      </c>
      <c r="G502">
        <v>7397</v>
      </c>
      <c r="H502">
        <v>1</v>
      </c>
      <c r="I502">
        <v>36985</v>
      </c>
      <c r="J502">
        <v>776685</v>
      </c>
      <c r="K502" s="1" t="s">
        <v>123</v>
      </c>
      <c r="L502" s="2">
        <v>0.66180555555555554</v>
      </c>
      <c r="M502" s="1" t="s">
        <v>36</v>
      </c>
      <c r="N502">
        <v>7397</v>
      </c>
      <c r="O502">
        <v>4761904762</v>
      </c>
      <c r="P502">
        <v>36985</v>
      </c>
      <c r="Q502">
        <v>54</v>
      </c>
    </row>
    <row r="503" spans="1:17" x14ac:dyDescent="0.25">
      <c r="A503" s="1" t="s">
        <v>626</v>
      </c>
      <c r="B503" s="1" t="s">
        <v>26</v>
      </c>
      <c r="C503" s="1" t="s">
        <v>27</v>
      </c>
      <c r="D503" s="1" t="s">
        <v>20</v>
      </c>
      <c r="E503" s="1" t="s">
        <v>21</v>
      </c>
      <c r="F503" s="1" t="s">
        <v>56</v>
      </c>
      <c r="G503">
        <v>319</v>
      </c>
      <c r="H503">
        <v>1</v>
      </c>
      <c r="I503">
        <v>1595</v>
      </c>
      <c r="J503">
        <v>33495</v>
      </c>
      <c r="K503" s="1" t="s">
        <v>23</v>
      </c>
      <c r="L503" s="2">
        <v>0.52777777777777779</v>
      </c>
      <c r="M503" s="1" t="s">
        <v>24</v>
      </c>
      <c r="N503">
        <v>319</v>
      </c>
      <c r="O503">
        <v>4761904762</v>
      </c>
      <c r="P503">
        <v>1595</v>
      </c>
      <c r="Q503">
        <v>91</v>
      </c>
    </row>
    <row r="504" spans="1:17" x14ac:dyDescent="0.25">
      <c r="A504" s="1" t="s">
        <v>627</v>
      </c>
      <c r="B504" s="1" t="s">
        <v>26</v>
      </c>
      <c r="C504" s="1" t="s">
        <v>27</v>
      </c>
      <c r="D504" s="1" t="s">
        <v>28</v>
      </c>
      <c r="E504" s="1" t="s">
        <v>33</v>
      </c>
      <c r="F504" s="1" t="s">
        <v>34</v>
      </c>
      <c r="G504">
        <v>694</v>
      </c>
      <c r="H504">
        <v>2</v>
      </c>
      <c r="I504">
        <v>694</v>
      </c>
      <c r="J504">
        <v>14574</v>
      </c>
      <c r="K504" s="1" t="s">
        <v>38</v>
      </c>
      <c r="L504" s="2">
        <v>0.82499999999999996</v>
      </c>
      <c r="M504" s="1" t="s">
        <v>24</v>
      </c>
      <c r="N504">
        <v>1388</v>
      </c>
      <c r="O504">
        <v>4761904762</v>
      </c>
      <c r="P504">
        <v>694</v>
      </c>
      <c r="Q504">
        <v>9</v>
      </c>
    </row>
    <row r="505" spans="1:17" x14ac:dyDescent="0.25">
      <c r="A505" s="1" t="s">
        <v>628</v>
      </c>
      <c r="B505" s="1" t="s">
        <v>51</v>
      </c>
      <c r="C505" s="1" t="s">
        <v>52</v>
      </c>
      <c r="D505" s="1" t="s">
        <v>28</v>
      </c>
      <c r="E505" s="1" t="s">
        <v>21</v>
      </c>
      <c r="F505" s="1" t="s">
        <v>40</v>
      </c>
      <c r="G505">
        <v>9331</v>
      </c>
      <c r="H505">
        <v>2</v>
      </c>
      <c r="I505">
        <v>9331</v>
      </c>
      <c r="J505">
        <v>195951</v>
      </c>
      <c r="K505" s="1" t="s">
        <v>43</v>
      </c>
      <c r="L505" s="2">
        <v>0.74513888888888891</v>
      </c>
      <c r="M505" s="1" t="s">
        <v>31</v>
      </c>
      <c r="N505">
        <v>18662</v>
      </c>
      <c r="O505">
        <v>4761904762</v>
      </c>
      <c r="P505">
        <v>9331</v>
      </c>
      <c r="Q505">
        <v>63</v>
      </c>
    </row>
    <row r="506" spans="1:17" x14ac:dyDescent="0.25">
      <c r="A506" s="1" t="s">
        <v>629</v>
      </c>
      <c r="B506" s="1" t="s">
        <v>51</v>
      </c>
      <c r="C506" s="1" t="s">
        <v>52</v>
      </c>
      <c r="D506" s="1" t="s">
        <v>28</v>
      </c>
      <c r="E506" s="1" t="s">
        <v>33</v>
      </c>
      <c r="F506" s="1" t="s">
        <v>40</v>
      </c>
      <c r="G506">
        <v>8845</v>
      </c>
      <c r="H506">
        <v>1</v>
      </c>
      <c r="I506">
        <v>44225</v>
      </c>
      <c r="J506">
        <v>928725</v>
      </c>
      <c r="K506" s="1" t="s">
        <v>45</v>
      </c>
      <c r="L506" s="2">
        <v>0.69166666666666665</v>
      </c>
      <c r="M506" s="1" t="s">
        <v>36</v>
      </c>
      <c r="N506">
        <v>8845</v>
      </c>
      <c r="O506">
        <v>4761904762</v>
      </c>
      <c r="P506">
        <v>44225</v>
      </c>
      <c r="Q506">
        <v>95</v>
      </c>
    </row>
    <row r="507" spans="1:17" x14ac:dyDescent="0.25">
      <c r="A507" s="1" t="s">
        <v>630</v>
      </c>
      <c r="B507" s="1" t="s">
        <v>18</v>
      </c>
      <c r="C507" s="1" t="s">
        <v>19</v>
      </c>
      <c r="D507" s="1" t="s">
        <v>20</v>
      </c>
      <c r="E507" s="1" t="s">
        <v>33</v>
      </c>
      <c r="F507" s="1" t="s">
        <v>29</v>
      </c>
      <c r="G507">
        <v>2418</v>
      </c>
      <c r="H507">
        <v>8</v>
      </c>
      <c r="I507">
        <v>9672</v>
      </c>
      <c r="J507">
        <v>203112</v>
      </c>
      <c r="K507" s="1" t="s">
        <v>94</v>
      </c>
      <c r="L507" s="2">
        <v>0.87083333333333335</v>
      </c>
      <c r="M507" s="1" t="s">
        <v>24</v>
      </c>
      <c r="N507">
        <v>19344</v>
      </c>
      <c r="O507">
        <v>4761904762</v>
      </c>
      <c r="P507">
        <v>9672</v>
      </c>
      <c r="Q507">
        <v>98</v>
      </c>
    </row>
    <row r="508" spans="1:17" x14ac:dyDescent="0.25">
      <c r="A508" s="1" t="s">
        <v>631</v>
      </c>
      <c r="B508" s="1" t="s">
        <v>51</v>
      </c>
      <c r="C508" s="1" t="s">
        <v>52</v>
      </c>
      <c r="D508" s="1" t="s">
        <v>20</v>
      </c>
      <c r="E508" s="1" t="s">
        <v>21</v>
      </c>
      <c r="F508" s="1" t="s">
        <v>40</v>
      </c>
      <c r="G508">
        <v>485</v>
      </c>
      <c r="H508">
        <v>3</v>
      </c>
      <c r="I508">
        <v>7275</v>
      </c>
      <c r="J508">
        <v>152775</v>
      </c>
      <c r="K508" s="1" t="s">
        <v>230</v>
      </c>
      <c r="L508" s="2">
        <v>0.53472222222222221</v>
      </c>
      <c r="M508" s="1" t="s">
        <v>31</v>
      </c>
      <c r="N508">
        <v>1455</v>
      </c>
      <c r="O508">
        <v>4761904762</v>
      </c>
      <c r="P508">
        <v>7275</v>
      </c>
      <c r="Q508">
        <v>67</v>
      </c>
    </row>
    <row r="509" spans="1:17" x14ac:dyDescent="0.25">
      <c r="A509" s="1" t="s">
        <v>632</v>
      </c>
      <c r="B509" s="1" t="s">
        <v>51</v>
      </c>
      <c r="C509" s="1" t="s">
        <v>52</v>
      </c>
      <c r="D509" s="1" t="s">
        <v>28</v>
      </c>
      <c r="E509" s="1" t="s">
        <v>21</v>
      </c>
      <c r="F509" s="1" t="s">
        <v>53</v>
      </c>
      <c r="G509">
        <v>8405</v>
      </c>
      <c r="H509">
        <v>6</v>
      </c>
      <c r="I509">
        <v>25215</v>
      </c>
      <c r="J509">
        <v>529515</v>
      </c>
      <c r="K509" s="1" t="s">
        <v>260</v>
      </c>
      <c r="L509" s="2">
        <v>0.45</v>
      </c>
      <c r="M509" s="1" t="s">
        <v>36</v>
      </c>
      <c r="N509">
        <v>5043</v>
      </c>
      <c r="O509">
        <v>4761904762</v>
      </c>
      <c r="P509">
        <v>25215</v>
      </c>
      <c r="Q509">
        <v>77</v>
      </c>
    </row>
    <row r="510" spans="1:17" x14ac:dyDescent="0.25">
      <c r="A510" s="1" t="s">
        <v>633</v>
      </c>
      <c r="B510" s="1" t="s">
        <v>51</v>
      </c>
      <c r="C510" s="1" t="s">
        <v>52</v>
      </c>
      <c r="D510" s="1" t="s">
        <v>20</v>
      </c>
      <c r="E510" s="1" t="s">
        <v>33</v>
      </c>
      <c r="F510" s="1" t="s">
        <v>22</v>
      </c>
      <c r="G510">
        <v>6129</v>
      </c>
      <c r="H510">
        <v>5</v>
      </c>
      <c r="I510">
        <v>153225</v>
      </c>
      <c r="J510">
        <v>3217725</v>
      </c>
      <c r="K510" s="1" t="s">
        <v>65</v>
      </c>
      <c r="L510" s="2">
        <v>0.60277777777777775</v>
      </c>
      <c r="M510" s="1" t="s">
        <v>31</v>
      </c>
      <c r="N510">
        <v>30645</v>
      </c>
      <c r="O510">
        <v>4761904762</v>
      </c>
      <c r="P510">
        <v>153225</v>
      </c>
      <c r="Q510">
        <v>7</v>
      </c>
    </row>
    <row r="511" spans="1:17" x14ac:dyDescent="0.25">
      <c r="A511" s="1" t="s">
        <v>634</v>
      </c>
      <c r="B511" s="1" t="s">
        <v>26</v>
      </c>
      <c r="C511" s="1" t="s">
        <v>27</v>
      </c>
      <c r="D511" s="1" t="s">
        <v>20</v>
      </c>
      <c r="E511" s="1" t="s">
        <v>21</v>
      </c>
      <c r="F511" s="1" t="s">
        <v>34</v>
      </c>
      <c r="G511">
        <v>1595</v>
      </c>
      <c r="H511">
        <v>6</v>
      </c>
      <c r="I511">
        <v>4785</v>
      </c>
      <c r="J511">
        <v>100485</v>
      </c>
      <c r="K511" s="1" t="s">
        <v>191</v>
      </c>
      <c r="L511" s="2">
        <v>0.71875</v>
      </c>
      <c r="M511" s="1" t="s">
        <v>36</v>
      </c>
      <c r="N511">
        <v>957</v>
      </c>
      <c r="O511">
        <v>4761904762</v>
      </c>
      <c r="P511">
        <v>4785</v>
      </c>
      <c r="Q511">
        <v>51</v>
      </c>
    </row>
    <row r="512" spans="1:17" x14ac:dyDescent="0.25">
      <c r="A512" s="1" t="s">
        <v>635</v>
      </c>
      <c r="B512" s="1" t="s">
        <v>51</v>
      </c>
      <c r="C512" s="1" t="s">
        <v>52</v>
      </c>
      <c r="D512" s="1" t="s">
        <v>20</v>
      </c>
      <c r="E512" s="1" t="s">
        <v>21</v>
      </c>
      <c r="F512" s="1" t="s">
        <v>40</v>
      </c>
      <c r="G512">
        <v>9074</v>
      </c>
      <c r="H512">
        <v>7</v>
      </c>
      <c r="I512">
        <v>31759</v>
      </c>
      <c r="J512">
        <v>666939</v>
      </c>
      <c r="K512" s="1" t="s">
        <v>219</v>
      </c>
      <c r="L512" s="2">
        <v>0.75208333333333333</v>
      </c>
      <c r="M512" s="1" t="s">
        <v>36</v>
      </c>
      <c r="N512">
        <v>63518</v>
      </c>
      <c r="O512">
        <v>4761904762</v>
      </c>
      <c r="P512">
        <v>31759</v>
      </c>
      <c r="Q512">
        <v>62</v>
      </c>
    </row>
    <row r="513" spans="1:17" x14ac:dyDescent="0.25">
      <c r="A513" s="1" t="s">
        <v>636</v>
      </c>
      <c r="B513" s="1" t="s">
        <v>18</v>
      </c>
      <c r="C513" s="1" t="s">
        <v>19</v>
      </c>
      <c r="D513" s="1" t="s">
        <v>28</v>
      </c>
      <c r="E513" s="1" t="s">
        <v>21</v>
      </c>
      <c r="F513" s="1" t="s">
        <v>34</v>
      </c>
      <c r="G513">
        <v>4291</v>
      </c>
      <c r="H513">
        <v>5</v>
      </c>
      <c r="I513">
        <v>107275</v>
      </c>
      <c r="J513">
        <v>2252775</v>
      </c>
      <c r="K513" s="1" t="s">
        <v>23</v>
      </c>
      <c r="L513" s="2">
        <v>0.72847222222222219</v>
      </c>
      <c r="M513" s="1" t="s">
        <v>24</v>
      </c>
      <c r="N513">
        <v>21455</v>
      </c>
      <c r="O513">
        <v>4761904762</v>
      </c>
      <c r="P513">
        <v>107275</v>
      </c>
      <c r="Q513">
        <v>61</v>
      </c>
    </row>
    <row r="514" spans="1:17" x14ac:dyDescent="0.25">
      <c r="A514" s="1" t="s">
        <v>637</v>
      </c>
      <c r="B514" s="1" t="s">
        <v>18</v>
      </c>
      <c r="C514" s="1" t="s">
        <v>19</v>
      </c>
      <c r="D514" s="1" t="s">
        <v>28</v>
      </c>
      <c r="E514" s="1" t="s">
        <v>21</v>
      </c>
      <c r="F514" s="1" t="s">
        <v>56</v>
      </c>
      <c r="G514">
        <v>5428</v>
      </c>
      <c r="H514">
        <v>7</v>
      </c>
      <c r="I514">
        <v>18998</v>
      </c>
      <c r="J514">
        <v>398958</v>
      </c>
      <c r="K514" s="1" t="s">
        <v>38</v>
      </c>
      <c r="L514" s="2">
        <v>0.75347222222222221</v>
      </c>
      <c r="M514" s="1" t="s">
        <v>24</v>
      </c>
      <c r="N514">
        <v>37996</v>
      </c>
      <c r="O514">
        <v>4761904762</v>
      </c>
      <c r="P514">
        <v>18998</v>
      </c>
      <c r="Q514">
        <v>93</v>
      </c>
    </row>
    <row r="515" spans="1:17" x14ac:dyDescent="0.25">
      <c r="A515" s="1" t="s">
        <v>638</v>
      </c>
      <c r="B515" s="1" t="s">
        <v>18</v>
      </c>
      <c r="C515" s="1" t="s">
        <v>19</v>
      </c>
      <c r="D515" s="1" t="s">
        <v>28</v>
      </c>
      <c r="E515" s="1" t="s">
        <v>33</v>
      </c>
      <c r="F515" s="1" t="s">
        <v>29</v>
      </c>
      <c r="G515">
        <v>9955</v>
      </c>
      <c r="H515">
        <v>7</v>
      </c>
      <c r="I515">
        <v>348425</v>
      </c>
      <c r="J515">
        <v>7316925</v>
      </c>
      <c r="K515" s="1" t="s">
        <v>389</v>
      </c>
      <c r="L515" s="2">
        <v>0.50486111111111109</v>
      </c>
      <c r="M515" s="1" t="s">
        <v>31</v>
      </c>
      <c r="N515">
        <v>69685</v>
      </c>
      <c r="O515">
        <v>4761904762</v>
      </c>
      <c r="P515">
        <v>348425</v>
      </c>
      <c r="Q515">
        <v>76</v>
      </c>
    </row>
    <row r="516" spans="1:17" x14ac:dyDescent="0.25">
      <c r="A516" s="1" t="s">
        <v>639</v>
      </c>
      <c r="B516" s="1" t="s">
        <v>26</v>
      </c>
      <c r="C516" s="1" t="s">
        <v>27</v>
      </c>
      <c r="D516" s="1" t="s">
        <v>20</v>
      </c>
      <c r="E516" s="1" t="s">
        <v>33</v>
      </c>
      <c r="F516" s="1" t="s">
        <v>40</v>
      </c>
      <c r="G516">
        <v>5839</v>
      </c>
      <c r="H516">
        <v>7</v>
      </c>
      <c r="I516">
        <v>204365</v>
      </c>
      <c r="J516">
        <v>4291665</v>
      </c>
      <c r="K516" s="1" t="s">
        <v>175</v>
      </c>
      <c r="L516" s="2">
        <v>0.8256944444444444</v>
      </c>
      <c r="M516" s="1" t="s">
        <v>36</v>
      </c>
      <c r="N516">
        <v>40873</v>
      </c>
      <c r="O516">
        <v>4761904762</v>
      </c>
      <c r="P516">
        <v>204365</v>
      </c>
      <c r="Q516">
        <v>82</v>
      </c>
    </row>
    <row r="517" spans="1:17" x14ac:dyDescent="0.25">
      <c r="A517" s="1" t="s">
        <v>640</v>
      </c>
      <c r="B517" s="1" t="s">
        <v>26</v>
      </c>
      <c r="C517" s="1" t="s">
        <v>27</v>
      </c>
      <c r="D517" s="1" t="s">
        <v>20</v>
      </c>
      <c r="E517" s="1" t="s">
        <v>21</v>
      </c>
      <c r="F517" s="1" t="s">
        <v>56</v>
      </c>
      <c r="G517">
        <v>5147</v>
      </c>
      <c r="H517">
        <v>1</v>
      </c>
      <c r="I517">
        <v>25735</v>
      </c>
      <c r="J517">
        <v>540435</v>
      </c>
      <c r="K517" s="1" t="s">
        <v>323</v>
      </c>
      <c r="L517" s="2">
        <v>0.66111111111111109</v>
      </c>
      <c r="M517" s="1" t="s">
        <v>24</v>
      </c>
      <c r="N517">
        <v>5147</v>
      </c>
      <c r="O517">
        <v>4761904762</v>
      </c>
      <c r="P517">
        <v>25735</v>
      </c>
      <c r="Q517">
        <v>85</v>
      </c>
    </row>
    <row r="518" spans="1:17" x14ac:dyDescent="0.25">
      <c r="A518" s="1" t="s">
        <v>641</v>
      </c>
      <c r="B518" s="1" t="s">
        <v>51</v>
      </c>
      <c r="C518" s="1" t="s">
        <v>52</v>
      </c>
      <c r="D518" s="1" t="s">
        <v>20</v>
      </c>
      <c r="E518" s="1" t="s">
        <v>33</v>
      </c>
      <c r="F518" s="1" t="s">
        <v>22</v>
      </c>
      <c r="G518">
        <v>5486</v>
      </c>
      <c r="H518">
        <v>5</v>
      </c>
      <c r="I518">
        <v>13715</v>
      </c>
      <c r="J518">
        <v>288015</v>
      </c>
      <c r="K518" s="1" t="s">
        <v>65</v>
      </c>
      <c r="L518" s="2">
        <v>0.7</v>
      </c>
      <c r="M518" s="1" t="s">
        <v>24</v>
      </c>
      <c r="N518">
        <v>2743</v>
      </c>
      <c r="O518">
        <v>4761904762</v>
      </c>
      <c r="P518">
        <v>13715</v>
      </c>
      <c r="Q518">
        <v>98</v>
      </c>
    </row>
    <row r="519" spans="1:17" x14ac:dyDescent="0.25">
      <c r="A519" s="1" t="s">
        <v>642</v>
      </c>
      <c r="B519" s="1" t="s">
        <v>26</v>
      </c>
      <c r="C519" s="1" t="s">
        <v>27</v>
      </c>
      <c r="D519" s="1" t="s">
        <v>20</v>
      </c>
      <c r="E519" s="1" t="s">
        <v>33</v>
      </c>
      <c r="F519" s="1" t="s">
        <v>34</v>
      </c>
      <c r="G519">
        <v>3939</v>
      </c>
      <c r="H519">
        <v>5</v>
      </c>
      <c r="I519">
        <v>98475</v>
      </c>
      <c r="J519">
        <v>2067975</v>
      </c>
      <c r="K519" s="1" t="s">
        <v>160</v>
      </c>
      <c r="L519" s="2">
        <v>0.86527777777777781</v>
      </c>
      <c r="M519" s="1" t="s">
        <v>36</v>
      </c>
      <c r="N519">
        <v>19695</v>
      </c>
      <c r="O519">
        <v>4761904762</v>
      </c>
      <c r="P519">
        <v>98475</v>
      </c>
      <c r="Q519">
        <v>87</v>
      </c>
    </row>
    <row r="520" spans="1:17" x14ac:dyDescent="0.25">
      <c r="A520" s="1" t="s">
        <v>643</v>
      </c>
      <c r="B520" s="1" t="s">
        <v>18</v>
      </c>
      <c r="C520" s="1" t="s">
        <v>19</v>
      </c>
      <c r="D520" s="1" t="s">
        <v>28</v>
      </c>
      <c r="E520" s="1" t="s">
        <v>33</v>
      </c>
      <c r="F520" s="1" t="s">
        <v>34</v>
      </c>
      <c r="G520">
        <v>3473</v>
      </c>
      <c r="H520">
        <v>2</v>
      </c>
      <c r="I520">
        <v>3473</v>
      </c>
      <c r="J520">
        <v>72933</v>
      </c>
      <c r="K520" s="1" t="s">
        <v>197</v>
      </c>
      <c r="L520" s="2">
        <v>0.75972222222222219</v>
      </c>
      <c r="M520" s="1" t="s">
        <v>24</v>
      </c>
      <c r="N520">
        <v>6946</v>
      </c>
      <c r="O520">
        <v>4761904762</v>
      </c>
      <c r="P520">
        <v>3473</v>
      </c>
      <c r="Q520">
        <v>97</v>
      </c>
    </row>
    <row r="521" spans="1:17" x14ac:dyDescent="0.25">
      <c r="A521" s="1" t="s">
        <v>644</v>
      </c>
      <c r="B521" s="1" t="s">
        <v>26</v>
      </c>
      <c r="C521" s="1" t="s">
        <v>27</v>
      </c>
      <c r="D521" s="1" t="s">
        <v>20</v>
      </c>
      <c r="E521" s="1" t="s">
        <v>33</v>
      </c>
      <c r="F521" s="1" t="s">
        <v>40</v>
      </c>
      <c r="G521">
        <v>7192</v>
      </c>
      <c r="H521">
        <v>5</v>
      </c>
      <c r="I521">
        <v>1798</v>
      </c>
      <c r="J521">
        <v>37758</v>
      </c>
      <c r="K521" s="1" t="s">
        <v>106</v>
      </c>
      <c r="L521" s="2">
        <v>0.62847222222222221</v>
      </c>
      <c r="M521" s="1" t="s">
        <v>36</v>
      </c>
      <c r="N521">
        <v>3596</v>
      </c>
      <c r="O521">
        <v>4761904762</v>
      </c>
      <c r="P521">
        <v>1798</v>
      </c>
      <c r="Q521">
        <v>43</v>
      </c>
    </row>
    <row r="522" spans="1:17" x14ac:dyDescent="0.25">
      <c r="A522" s="1" t="s">
        <v>645</v>
      </c>
      <c r="B522" s="1" t="s">
        <v>51</v>
      </c>
      <c r="C522" s="1" t="s">
        <v>52</v>
      </c>
      <c r="D522" s="1" t="s">
        <v>28</v>
      </c>
      <c r="E522" s="1" t="s">
        <v>21</v>
      </c>
      <c r="F522" s="1" t="s">
        <v>29</v>
      </c>
      <c r="G522">
        <v>4571</v>
      </c>
      <c r="H522">
        <v>3</v>
      </c>
      <c r="I522">
        <v>68565</v>
      </c>
      <c r="J522">
        <v>1439865</v>
      </c>
      <c r="K522" s="1" t="s">
        <v>195</v>
      </c>
      <c r="L522" s="2">
        <v>0.44027777777777777</v>
      </c>
      <c r="M522" s="1" t="s">
        <v>36</v>
      </c>
      <c r="N522">
        <v>13713</v>
      </c>
      <c r="O522">
        <v>4761904762</v>
      </c>
      <c r="P522">
        <v>68565</v>
      </c>
      <c r="Q522">
        <v>77</v>
      </c>
    </row>
    <row r="523" spans="1:17" x14ac:dyDescent="0.25">
      <c r="A523" s="1" t="s">
        <v>646</v>
      </c>
      <c r="B523" s="1" t="s">
        <v>26</v>
      </c>
      <c r="C523" s="1" t="s">
        <v>27</v>
      </c>
      <c r="D523" s="1" t="s">
        <v>20</v>
      </c>
      <c r="E523" s="1" t="s">
        <v>21</v>
      </c>
      <c r="F523" s="1" t="s">
        <v>34</v>
      </c>
      <c r="G523">
        <v>8317</v>
      </c>
      <c r="H523">
        <v>6</v>
      </c>
      <c r="I523">
        <v>24951</v>
      </c>
      <c r="J523">
        <v>523971</v>
      </c>
      <c r="K523" s="1" t="s">
        <v>329</v>
      </c>
      <c r="L523" s="2">
        <v>0.47430555555555554</v>
      </c>
      <c r="M523" s="1" t="s">
        <v>31</v>
      </c>
      <c r="N523">
        <v>49902</v>
      </c>
      <c r="O523">
        <v>4761904762</v>
      </c>
      <c r="P523">
        <v>24951</v>
      </c>
      <c r="Q523">
        <v>73</v>
      </c>
    </row>
    <row r="524" spans="1:17" x14ac:dyDescent="0.25">
      <c r="A524" s="1" t="s">
        <v>647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34</v>
      </c>
      <c r="G524">
        <v>3744</v>
      </c>
      <c r="H524">
        <v>6</v>
      </c>
      <c r="I524">
        <v>11232</v>
      </c>
      <c r="J524">
        <v>235872</v>
      </c>
      <c r="K524" s="1" t="s">
        <v>57</v>
      </c>
      <c r="L524" s="2">
        <v>0.57986111111111116</v>
      </c>
      <c r="M524" s="1" t="s">
        <v>36</v>
      </c>
      <c r="N524">
        <v>22464</v>
      </c>
      <c r="O524">
        <v>4761904762</v>
      </c>
      <c r="P524">
        <v>11232</v>
      </c>
      <c r="Q524">
        <v>59</v>
      </c>
    </row>
    <row r="525" spans="1:17" x14ac:dyDescent="0.25">
      <c r="A525" s="1" t="s">
        <v>648</v>
      </c>
      <c r="B525" s="1" t="s">
        <v>26</v>
      </c>
      <c r="C525" s="1" t="s">
        <v>27</v>
      </c>
      <c r="D525" s="1" t="s">
        <v>28</v>
      </c>
      <c r="E525" s="1" t="s">
        <v>33</v>
      </c>
      <c r="F525" s="1" t="s">
        <v>22</v>
      </c>
      <c r="G525">
        <v>6287</v>
      </c>
      <c r="H525">
        <v>2</v>
      </c>
      <c r="I525">
        <v>6287</v>
      </c>
      <c r="J525">
        <v>132027</v>
      </c>
      <c r="K525" s="1" t="s">
        <v>71</v>
      </c>
      <c r="L525" s="2">
        <v>0.48819444444444443</v>
      </c>
      <c r="M525" s="1" t="s">
        <v>31</v>
      </c>
      <c r="N525">
        <v>12574</v>
      </c>
      <c r="O525">
        <v>4761904762</v>
      </c>
      <c r="P525">
        <v>6287</v>
      </c>
      <c r="Q525">
        <v>5</v>
      </c>
    </row>
    <row r="526" spans="1:17" x14ac:dyDescent="0.25">
      <c r="A526" s="1" t="s">
        <v>649</v>
      </c>
      <c r="B526" s="1" t="s">
        <v>18</v>
      </c>
      <c r="C526" s="1" t="s">
        <v>19</v>
      </c>
      <c r="D526" s="1" t="s">
        <v>28</v>
      </c>
      <c r="E526" s="1" t="s">
        <v>33</v>
      </c>
      <c r="F526" s="1" t="s">
        <v>53</v>
      </c>
      <c r="G526">
        <v>8171</v>
      </c>
      <c r="H526">
        <v>6</v>
      </c>
      <c r="I526">
        <v>24513</v>
      </c>
      <c r="J526">
        <v>514773</v>
      </c>
      <c r="K526" s="1" t="s">
        <v>38</v>
      </c>
      <c r="L526" s="2">
        <v>0.60833333333333328</v>
      </c>
      <c r="M526" s="1" t="s">
        <v>36</v>
      </c>
      <c r="N526">
        <v>49026</v>
      </c>
      <c r="O526">
        <v>4761904762</v>
      </c>
      <c r="P526">
        <v>24513</v>
      </c>
      <c r="Q526">
        <v>8</v>
      </c>
    </row>
    <row r="527" spans="1:17" x14ac:dyDescent="0.25">
      <c r="A527" s="1" t="s">
        <v>650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40</v>
      </c>
      <c r="G527">
        <v>9141</v>
      </c>
      <c r="H527">
        <v>5</v>
      </c>
      <c r="I527">
        <v>228525</v>
      </c>
      <c r="J527">
        <v>4799025</v>
      </c>
      <c r="K527" s="1" t="s">
        <v>45</v>
      </c>
      <c r="L527" s="2">
        <v>0.66874999999999996</v>
      </c>
      <c r="M527" s="1" t="s">
        <v>24</v>
      </c>
      <c r="N527">
        <v>45705</v>
      </c>
      <c r="O527">
        <v>4761904762</v>
      </c>
      <c r="P527">
        <v>228525</v>
      </c>
      <c r="Q527">
        <v>71</v>
      </c>
    </row>
    <row r="528" spans="1:17" x14ac:dyDescent="0.25">
      <c r="A528" s="1" t="s">
        <v>651</v>
      </c>
      <c r="B528" s="1" t="s">
        <v>51</v>
      </c>
      <c r="C528" s="1" t="s">
        <v>52</v>
      </c>
      <c r="D528" s="1" t="s">
        <v>28</v>
      </c>
      <c r="E528" s="1" t="s">
        <v>33</v>
      </c>
      <c r="F528" s="1" t="s">
        <v>56</v>
      </c>
      <c r="G528">
        <v>3921</v>
      </c>
      <c r="H528">
        <v>4</v>
      </c>
      <c r="I528">
        <v>7842</v>
      </c>
      <c r="J528">
        <v>164682</v>
      </c>
      <c r="K528" s="1" t="s">
        <v>219</v>
      </c>
      <c r="L528" s="2">
        <v>0.8354166666666667</v>
      </c>
      <c r="M528" s="1" t="s">
        <v>36</v>
      </c>
      <c r="N528">
        <v>15684</v>
      </c>
      <c r="O528">
        <v>4761904762</v>
      </c>
      <c r="P528">
        <v>7842</v>
      </c>
      <c r="Q528">
        <v>9</v>
      </c>
    </row>
    <row r="529" spans="1:17" x14ac:dyDescent="0.25">
      <c r="A529" s="1" t="s">
        <v>652</v>
      </c>
      <c r="B529" s="1" t="s">
        <v>51</v>
      </c>
      <c r="C529" s="1" t="s">
        <v>52</v>
      </c>
      <c r="D529" s="1" t="s">
        <v>20</v>
      </c>
      <c r="E529" s="1" t="s">
        <v>33</v>
      </c>
      <c r="F529" s="1" t="s">
        <v>56</v>
      </c>
      <c r="G529">
        <v>5986</v>
      </c>
      <c r="H529">
        <v>2</v>
      </c>
      <c r="I529">
        <v>5986</v>
      </c>
      <c r="J529">
        <v>125706</v>
      </c>
      <c r="K529" s="1" t="s">
        <v>162</v>
      </c>
      <c r="L529" s="2">
        <v>0.62152777777777779</v>
      </c>
      <c r="M529" s="1" t="s">
        <v>24</v>
      </c>
      <c r="N529">
        <v>11972</v>
      </c>
      <c r="O529">
        <v>4761904762</v>
      </c>
      <c r="P529">
        <v>5986</v>
      </c>
      <c r="Q529">
        <v>67</v>
      </c>
    </row>
    <row r="530" spans="1:17" x14ac:dyDescent="0.25">
      <c r="A530" s="1" t="s">
        <v>653</v>
      </c>
      <c r="B530" s="1" t="s">
        <v>51</v>
      </c>
      <c r="C530" s="1" t="s">
        <v>52</v>
      </c>
      <c r="D530" s="1" t="s">
        <v>20</v>
      </c>
      <c r="E530" s="1" t="s">
        <v>21</v>
      </c>
      <c r="F530" s="1" t="s">
        <v>53</v>
      </c>
      <c r="G530">
        <v>5436</v>
      </c>
      <c r="H530">
        <v>10</v>
      </c>
      <c r="I530">
        <v>2718</v>
      </c>
      <c r="J530">
        <v>57078</v>
      </c>
      <c r="K530" s="1" t="s">
        <v>63</v>
      </c>
      <c r="L530" s="2">
        <v>0.4777777777777778</v>
      </c>
      <c r="M530" s="1" t="s">
        <v>36</v>
      </c>
      <c r="N530">
        <v>5436</v>
      </c>
      <c r="O530">
        <v>4761904762</v>
      </c>
      <c r="P530">
        <v>2718</v>
      </c>
      <c r="Q530">
        <v>61</v>
      </c>
    </row>
    <row r="531" spans="1:17" x14ac:dyDescent="0.25">
      <c r="A531" s="1" t="s">
        <v>654</v>
      </c>
      <c r="B531" s="1" t="s">
        <v>18</v>
      </c>
      <c r="C531" s="1" t="s">
        <v>19</v>
      </c>
      <c r="D531" s="1" t="s">
        <v>28</v>
      </c>
      <c r="E531" s="1" t="s">
        <v>33</v>
      </c>
      <c r="F531" s="1" t="s">
        <v>40</v>
      </c>
      <c r="G531">
        <v>9809</v>
      </c>
      <c r="H531">
        <v>9</v>
      </c>
      <c r="I531">
        <v>441405</v>
      </c>
      <c r="J531">
        <v>9269505</v>
      </c>
      <c r="K531" s="1" t="s">
        <v>81</v>
      </c>
      <c r="L531" s="2">
        <v>0.82013888888888886</v>
      </c>
      <c r="M531" s="1" t="s">
        <v>31</v>
      </c>
      <c r="N531">
        <v>88281</v>
      </c>
      <c r="O531">
        <v>4761904762</v>
      </c>
      <c r="P531">
        <v>441405</v>
      </c>
      <c r="Q531">
        <v>93</v>
      </c>
    </row>
    <row r="532" spans="1:17" x14ac:dyDescent="0.25">
      <c r="A532" s="1" t="s">
        <v>655</v>
      </c>
      <c r="B532" s="1" t="s">
        <v>18</v>
      </c>
      <c r="C532" s="1" t="s">
        <v>19</v>
      </c>
      <c r="D532" s="1" t="s">
        <v>28</v>
      </c>
      <c r="E532" s="1" t="s">
        <v>33</v>
      </c>
      <c r="F532" s="1" t="s">
        <v>22</v>
      </c>
      <c r="G532">
        <v>2543</v>
      </c>
      <c r="H532">
        <v>6</v>
      </c>
      <c r="I532">
        <v>7629</v>
      </c>
      <c r="J532">
        <v>160209</v>
      </c>
      <c r="K532" s="1" t="s">
        <v>61</v>
      </c>
      <c r="L532" s="2">
        <v>0.79236111111111107</v>
      </c>
      <c r="M532" s="1" t="s">
        <v>24</v>
      </c>
      <c r="N532">
        <v>15258</v>
      </c>
      <c r="O532">
        <v>4761904762</v>
      </c>
      <c r="P532">
        <v>7629</v>
      </c>
      <c r="Q532">
        <v>7</v>
      </c>
    </row>
    <row r="533" spans="1:17" x14ac:dyDescent="0.25">
      <c r="A533" s="1" t="s">
        <v>656</v>
      </c>
      <c r="B533" s="1" t="s">
        <v>18</v>
      </c>
      <c r="C533" s="1" t="s">
        <v>19</v>
      </c>
      <c r="D533" s="1" t="s">
        <v>20</v>
      </c>
      <c r="E533" s="1" t="s">
        <v>33</v>
      </c>
      <c r="F533" s="1" t="s">
        <v>56</v>
      </c>
      <c r="G533">
        <v>8668</v>
      </c>
      <c r="H533">
        <v>8</v>
      </c>
      <c r="I533">
        <v>34672</v>
      </c>
      <c r="J533">
        <v>728112</v>
      </c>
      <c r="K533" s="1" t="s">
        <v>151</v>
      </c>
      <c r="L533" s="2">
        <v>0.75277777777777777</v>
      </c>
      <c r="M533" s="1" t="s">
        <v>36</v>
      </c>
      <c r="N533">
        <v>69344</v>
      </c>
      <c r="O533">
        <v>4761904762</v>
      </c>
      <c r="P533">
        <v>34672</v>
      </c>
      <c r="Q533">
        <v>72</v>
      </c>
    </row>
    <row r="534" spans="1:17" x14ac:dyDescent="0.25">
      <c r="A534" s="1" t="s">
        <v>657</v>
      </c>
      <c r="B534" s="1" t="s">
        <v>51</v>
      </c>
      <c r="C534" s="1" t="s">
        <v>52</v>
      </c>
      <c r="D534" s="1" t="s">
        <v>28</v>
      </c>
      <c r="E534" s="1" t="s">
        <v>33</v>
      </c>
      <c r="F534" s="1" t="s">
        <v>29</v>
      </c>
      <c r="G534">
        <v>2295</v>
      </c>
      <c r="H534">
        <v>10</v>
      </c>
      <c r="I534">
        <v>11475</v>
      </c>
      <c r="J534">
        <v>240975</v>
      </c>
      <c r="K534" s="1" t="s">
        <v>57</v>
      </c>
      <c r="L534" s="2">
        <v>0.80555555555555558</v>
      </c>
      <c r="M534" s="1" t="s">
        <v>24</v>
      </c>
      <c r="N534">
        <v>2295</v>
      </c>
      <c r="O534">
        <v>4761904762</v>
      </c>
      <c r="P534">
        <v>11475</v>
      </c>
      <c r="Q534">
        <v>82</v>
      </c>
    </row>
    <row r="535" spans="1:17" x14ac:dyDescent="0.25">
      <c r="A535" s="1" t="s">
        <v>658</v>
      </c>
      <c r="B535" s="1" t="s">
        <v>26</v>
      </c>
      <c r="C535" s="1" t="s">
        <v>27</v>
      </c>
      <c r="D535" s="1" t="s">
        <v>28</v>
      </c>
      <c r="E535" s="1" t="s">
        <v>21</v>
      </c>
      <c r="F535" s="1" t="s">
        <v>53</v>
      </c>
      <c r="G535">
        <v>1631</v>
      </c>
      <c r="H535">
        <v>9</v>
      </c>
      <c r="I535">
        <v>73395</v>
      </c>
      <c r="J535">
        <v>1541295</v>
      </c>
      <c r="K535" s="1" t="s">
        <v>195</v>
      </c>
      <c r="L535" s="2">
        <v>0.43819444444444444</v>
      </c>
      <c r="M535" s="1" t="s">
        <v>24</v>
      </c>
      <c r="N535">
        <v>14679</v>
      </c>
      <c r="O535">
        <v>4761904762</v>
      </c>
      <c r="P535">
        <v>73395</v>
      </c>
      <c r="Q535">
        <v>84</v>
      </c>
    </row>
    <row r="536" spans="1:17" x14ac:dyDescent="0.25">
      <c r="A536" s="1" t="s">
        <v>659</v>
      </c>
      <c r="B536" s="1" t="s">
        <v>18</v>
      </c>
      <c r="C536" s="1" t="s">
        <v>19</v>
      </c>
      <c r="D536" s="1" t="s">
        <v>28</v>
      </c>
      <c r="E536" s="1" t="s">
        <v>21</v>
      </c>
      <c r="F536" s="1" t="s">
        <v>34</v>
      </c>
      <c r="G536">
        <v>2832</v>
      </c>
      <c r="H536">
        <v>5</v>
      </c>
      <c r="I536">
        <v>708</v>
      </c>
      <c r="J536">
        <v>14868</v>
      </c>
      <c r="K536" s="1" t="s">
        <v>69</v>
      </c>
      <c r="L536" s="2">
        <v>0.56111111111111112</v>
      </c>
      <c r="M536" s="1" t="s">
        <v>24</v>
      </c>
      <c r="N536">
        <v>1416</v>
      </c>
      <c r="O536">
        <v>4761904762</v>
      </c>
      <c r="P536">
        <v>708</v>
      </c>
      <c r="Q536">
        <v>62</v>
      </c>
    </row>
    <row r="537" spans="1:17" x14ac:dyDescent="0.25">
      <c r="A537" s="1" t="s">
        <v>660</v>
      </c>
      <c r="B537" s="1" t="s">
        <v>26</v>
      </c>
      <c r="C537" s="1" t="s">
        <v>27</v>
      </c>
      <c r="D537" s="1" t="s">
        <v>28</v>
      </c>
      <c r="E537" s="1" t="s">
        <v>33</v>
      </c>
      <c r="F537" s="1" t="s">
        <v>34</v>
      </c>
      <c r="G537">
        <v>1667</v>
      </c>
      <c r="H537">
        <v>7</v>
      </c>
      <c r="I537">
        <v>58345</v>
      </c>
      <c r="J537">
        <v>1225245</v>
      </c>
      <c r="K537" s="1" t="s">
        <v>63</v>
      </c>
      <c r="L537" s="2">
        <v>0.48333333333333334</v>
      </c>
      <c r="M537" s="1" t="s">
        <v>24</v>
      </c>
      <c r="N537">
        <v>11669</v>
      </c>
      <c r="O537">
        <v>4761904762</v>
      </c>
      <c r="P537">
        <v>58345</v>
      </c>
      <c r="Q537">
        <v>74</v>
      </c>
    </row>
    <row r="538" spans="1:17" x14ac:dyDescent="0.25">
      <c r="A538" s="1" t="s">
        <v>661</v>
      </c>
      <c r="B538" s="1" t="s">
        <v>51</v>
      </c>
      <c r="C538" s="1" t="s">
        <v>52</v>
      </c>
      <c r="D538" s="1" t="s">
        <v>20</v>
      </c>
      <c r="E538" s="1" t="s">
        <v>21</v>
      </c>
      <c r="F538" s="1" t="s">
        <v>56</v>
      </c>
      <c r="G538">
        <v>7396</v>
      </c>
      <c r="H538">
        <v>1</v>
      </c>
      <c r="I538">
        <v>3698</v>
      </c>
      <c r="J538">
        <v>77658</v>
      </c>
      <c r="K538" s="1" t="s">
        <v>23</v>
      </c>
      <c r="L538" s="2">
        <v>0.48055555555555557</v>
      </c>
      <c r="M538" s="1" t="s">
        <v>36</v>
      </c>
      <c r="N538">
        <v>7396</v>
      </c>
      <c r="O538">
        <v>4761904762</v>
      </c>
      <c r="P538">
        <v>3698</v>
      </c>
      <c r="Q538">
        <v>5</v>
      </c>
    </row>
    <row r="539" spans="1:17" x14ac:dyDescent="0.25">
      <c r="A539" s="1" t="s">
        <v>662</v>
      </c>
      <c r="B539" s="1" t="s">
        <v>18</v>
      </c>
      <c r="C539" s="1" t="s">
        <v>19</v>
      </c>
      <c r="D539" s="1" t="s">
        <v>28</v>
      </c>
      <c r="E539" s="1" t="s">
        <v>33</v>
      </c>
      <c r="F539" s="1" t="s">
        <v>34</v>
      </c>
      <c r="G539">
        <v>9794</v>
      </c>
      <c r="H539">
        <v>1</v>
      </c>
      <c r="I539">
        <v>4897</v>
      </c>
      <c r="J539">
        <v>102837</v>
      </c>
      <c r="K539" s="1" t="s">
        <v>128</v>
      </c>
      <c r="L539" s="2">
        <v>0.48888888888888887</v>
      </c>
      <c r="M539" s="1" t="s">
        <v>24</v>
      </c>
      <c r="N539">
        <v>9794</v>
      </c>
      <c r="O539">
        <v>4761904762</v>
      </c>
      <c r="P539">
        <v>4897</v>
      </c>
      <c r="Q539">
        <v>69</v>
      </c>
    </row>
    <row r="540" spans="1:17" x14ac:dyDescent="0.25">
      <c r="A540" s="1" t="s">
        <v>663</v>
      </c>
      <c r="B540" s="1" t="s">
        <v>18</v>
      </c>
      <c r="C540" s="1" t="s">
        <v>19</v>
      </c>
      <c r="D540" s="1" t="s">
        <v>28</v>
      </c>
      <c r="E540" s="1" t="s">
        <v>21</v>
      </c>
      <c r="F540" s="1" t="s">
        <v>56</v>
      </c>
      <c r="G540">
        <v>7305</v>
      </c>
      <c r="H540">
        <v>4</v>
      </c>
      <c r="I540">
        <v>1461</v>
      </c>
      <c r="J540">
        <v>30681</v>
      </c>
      <c r="K540" s="1" t="s">
        <v>45</v>
      </c>
      <c r="L540" s="2">
        <v>0.71944444444444444</v>
      </c>
      <c r="M540" s="1" t="s">
        <v>36</v>
      </c>
      <c r="N540">
        <v>2922</v>
      </c>
      <c r="O540">
        <v>4761904762</v>
      </c>
      <c r="P540">
        <v>1461</v>
      </c>
      <c r="Q540">
        <v>49</v>
      </c>
    </row>
    <row r="541" spans="1:17" x14ac:dyDescent="0.25">
      <c r="A541" s="1" t="s">
        <v>664</v>
      </c>
      <c r="B541" s="1" t="s">
        <v>26</v>
      </c>
      <c r="C541" s="1" t="s">
        <v>27</v>
      </c>
      <c r="D541" s="1" t="s">
        <v>20</v>
      </c>
      <c r="E541" s="1" t="s">
        <v>21</v>
      </c>
      <c r="F541" s="1" t="s">
        <v>53</v>
      </c>
      <c r="G541">
        <v>8748</v>
      </c>
      <c r="H541">
        <v>6</v>
      </c>
      <c r="I541">
        <v>26244</v>
      </c>
      <c r="J541">
        <v>551124</v>
      </c>
      <c r="K541" s="1" t="s">
        <v>199</v>
      </c>
      <c r="L541" s="2">
        <v>0.77986111111111112</v>
      </c>
      <c r="M541" s="1" t="s">
        <v>24</v>
      </c>
      <c r="N541">
        <v>52488</v>
      </c>
      <c r="O541">
        <v>4761904762</v>
      </c>
      <c r="P541">
        <v>26244</v>
      </c>
      <c r="Q541">
        <v>51</v>
      </c>
    </row>
    <row r="542" spans="1:17" x14ac:dyDescent="0.25">
      <c r="A542" s="1" t="s">
        <v>665</v>
      </c>
      <c r="B542" s="1" t="s">
        <v>18</v>
      </c>
      <c r="C542" s="1" t="s">
        <v>19</v>
      </c>
      <c r="D542" s="1" t="s">
        <v>28</v>
      </c>
      <c r="E542" s="1" t="s">
        <v>33</v>
      </c>
      <c r="F542" s="1" t="s">
        <v>34</v>
      </c>
      <c r="G542">
        <v>3068</v>
      </c>
      <c r="H542">
        <v>3</v>
      </c>
      <c r="I542">
        <v>4602</v>
      </c>
      <c r="J542">
        <v>96642</v>
      </c>
      <c r="K542" s="1" t="s">
        <v>160</v>
      </c>
      <c r="L542" s="2">
        <v>0.45833333333333331</v>
      </c>
      <c r="M542" s="1" t="s">
        <v>24</v>
      </c>
      <c r="N542">
        <v>9204</v>
      </c>
      <c r="O542">
        <v>4761904762</v>
      </c>
      <c r="P542">
        <v>4602</v>
      </c>
      <c r="Q542">
        <v>91</v>
      </c>
    </row>
    <row r="543" spans="1:17" x14ac:dyDescent="0.25">
      <c r="A543" s="1" t="s">
        <v>666</v>
      </c>
      <c r="B543" s="1" t="s">
        <v>26</v>
      </c>
      <c r="C543" s="1" t="s">
        <v>27</v>
      </c>
      <c r="D543" s="1" t="s">
        <v>20</v>
      </c>
      <c r="E543" s="1" t="s">
        <v>33</v>
      </c>
      <c r="F543" s="1" t="s">
        <v>22</v>
      </c>
      <c r="G543">
        <v>7588</v>
      </c>
      <c r="H543">
        <v>1</v>
      </c>
      <c r="I543">
        <v>3794</v>
      </c>
      <c r="J543">
        <v>79674</v>
      </c>
      <c r="K543" s="1" t="s">
        <v>282</v>
      </c>
      <c r="L543" s="2">
        <v>0.4375</v>
      </c>
      <c r="M543" s="1" t="s">
        <v>36</v>
      </c>
      <c r="N543">
        <v>7588</v>
      </c>
      <c r="O543">
        <v>4761904762</v>
      </c>
      <c r="P543">
        <v>3794</v>
      </c>
      <c r="Q543">
        <v>71</v>
      </c>
    </row>
    <row r="544" spans="1:17" x14ac:dyDescent="0.25">
      <c r="A544" s="1" t="s">
        <v>667</v>
      </c>
      <c r="B544" s="1" t="s">
        <v>51</v>
      </c>
      <c r="C544" s="1" t="s">
        <v>52</v>
      </c>
      <c r="D544" s="1" t="s">
        <v>20</v>
      </c>
      <c r="E544" s="1" t="s">
        <v>21</v>
      </c>
      <c r="F544" s="1" t="s">
        <v>40</v>
      </c>
      <c r="G544">
        <v>2018</v>
      </c>
      <c r="H544">
        <v>4</v>
      </c>
      <c r="I544">
        <v>4036</v>
      </c>
      <c r="J544">
        <v>84756</v>
      </c>
      <c r="K544" s="1" t="s">
        <v>291</v>
      </c>
      <c r="L544" s="2">
        <v>0.50972222222222219</v>
      </c>
      <c r="M544" s="1" t="s">
        <v>36</v>
      </c>
      <c r="N544">
        <v>8072</v>
      </c>
      <c r="O544">
        <v>4761904762</v>
      </c>
      <c r="P544">
        <v>4036</v>
      </c>
      <c r="Q544">
        <v>5</v>
      </c>
    </row>
    <row r="545" spans="1:17" x14ac:dyDescent="0.25">
      <c r="A545" s="1" t="s">
        <v>668</v>
      </c>
      <c r="B545" s="1" t="s">
        <v>26</v>
      </c>
      <c r="C545" s="1" t="s">
        <v>27</v>
      </c>
      <c r="D545" s="1" t="s">
        <v>20</v>
      </c>
      <c r="E545" s="1" t="s">
        <v>33</v>
      </c>
      <c r="F545" s="1" t="s">
        <v>29</v>
      </c>
      <c r="G545">
        <v>1877</v>
      </c>
      <c r="H545">
        <v>6</v>
      </c>
      <c r="I545">
        <v>5631</v>
      </c>
      <c r="J545">
        <v>118251</v>
      </c>
      <c r="K545" s="1" t="s">
        <v>94</v>
      </c>
      <c r="L545" s="2">
        <v>0.69652777777777775</v>
      </c>
      <c r="M545" s="1" t="s">
        <v>36</v>
      </c>
      <c r="N545">
        <v>11262</v>
      </c>
      <c r="O545">
        <v>4761904762</v>
      </c>
      <c r="P545">
        <v>5631</v>
      </c>
      <c r="Q545">
        <v>55</v>
      </c>
    </row>
    <row r="546" spans="1:17" x14ac:dyDescent="0.25">
      <c r="A546" s="1" t="s">
        <v>669</v>
      </c>
      <c r="B546" s="1" t="s">
        <v>51</v>
      </c>
      <c r="C546" s="1" t="s">
        <v>52</v>
      </c>
      <c r="D546" s="1" t="s">
        <v>28</v>
      </c>
      <c r="E546" s="1" t="s">
        <v>21</v>
      </c>
      <c r="F546" s="1" t="s">
        <v>53</v>
      </c>
      <c r="G546">
        <v>712</v>
      </c>
      <c r="H546">
        <v>1</v>
      </c>
      <c r="I546">
        <v>356</v>
      </c>
      <c r="J546">
        <v>7476</v>
      </c>
      <c r="K546" s="1" t="s">
        <v>23</v>
      </c>
      <c r="L546" s="2">
        <v>0.86111111111111116</v>
      </c>
      <c r="M546" s="1" t="s">
        <v>36</v>
      </c>
      <c r="N546">
        <v>712</v>
      </c>
      <c r="O546">
        <v>4761904762</v>
      </c>
      <c r="P546">
        <v>356</v>
      </c>
      <c r="Q546">
        <v>92</v>
      </c>
    </row>
    <row r="547" spans="1:17" x14ac:dyDescent="0.25">
      <c r="A547" s="1" t="s">
        <v>670</v>
      </c>
      <c r="B547" s="1" t="s">
        <v>51</v>
      </c>
      <c r="C547" s="1" t="s">
        <v>52</v>
      </c>
      <c r="D547" s="1" t="s">
        <v>20</v>
      </c>
      <c r="E547" s="1" t="s">
        <v>33</v>
      </c>
      <c r="F547" s="1" t="s">
        <v>34</v>
      </c>
      <c r="G547">
        <v>3881</v>
      </c>
      <c r="H547">
        <v>4</v>
      </c>
      <c r="I547">
        <v>7762</v>
      </c>
      <c r="J547">
        <v>163002</v>
      </c>
      <c r="K547" s="1" t="s">
        <v>121</v>
      </c>
      <c r="L547" s="2">
        <v>0.56944444444444442</v>
      </c>
      <c r="M547" s="1" t="s">
        <v>24</v>
      </c>
      <c r="N547">
        <v>15524</v>
      </c>
      <c r="O547">
        <v>4761904762</v>
      </c>
      <c r="P547">
        <v>7762</v>
      </c>
      <c r="Q547">
        <v>49</v>
      </c>
    </row>
    <row r="548" spans="1:17" x14ac:dyDescent="0.25">
      <c r="A548" s="1" t="s">
        <v>671</v>
      </c>
      <c r="B548" s="1" t="s">
        <v>18</v>
      </c>
      <c r="C548" s="1" t="s">
        <v>19</v>
      </c>
      <c r="D548" s="1" t="s">
        <v>28</v>
      </c>
      <c r="E548" s="1" t="s">
        <v>21</v>
      </c>
      <c r="F548" s="1" t="s">
        <v>56</v>
      </c>
      <c r="G548">
        <v>2942</v>
      </c>
      <c r="H548">
        <v>10</v>
      </c>
      <c r="I548">
        <v>1471</v>
      </c>
      <c r="J548">
        <v>30891</v>
      </c>
      <c r="K548" s="1" t="s">
        <v>166</v>
      </c>
      <c r="L548" s="2">
        <v>0.68263888888888891</v>
      </c>
      <c r="M548" s="1" t="s">
        <v>24</v>
      </c>
      <c r="N548">
        <v>2942</v>
      </c>
      <c r="O548">
        <v>4761904762</v>
      </c>
      <c r="P548">
        <v>1471</v>
      </c>
      <c r="Q548">
        <v>89</v>
      </c>
    </row>
    <row r="549" spans="1:17" x14ac:dyDescent="0.25">
      <c r="A549" s="1" t="s">
        <v>672</v>
      </c>
      <c r="B549" s="1" t="s">
        <v>18</v>
      </c>
      <c r="C549" s="1" t="s">
        <v>19</v>
      </c>
      <c r="D549" s="1" t="s">
        <v>28</v>
      </c>
      <c r="E549" s="1" t="s">
        <v>33</v>
      </c>
      <c r="F549" s="1" t="s">
        <v>40</v>
      </c>
      <c r="G549">
        <v>6095</v>
      </c>
      <c r="H549">
        <v>9</v>
      </c>
      <c r="I549">
        <v>274275</v>
      </c>
      <c r="J549">
        <v>5759775</v>
      </c>
      <c r="K549" s="1" t="s">
        <v>99</v>
      </c>
      <c r="L549" s="2">
        <v>0.50555555555555554</v>
      </c>
      <c r="M549" s="1" t="s">
        <v>36</v>
      </c>
      <c r="N549">
        <v>54855</v>
      </c>
      <c r="O549">
        <v>4761904762</v>
      </c>
      <c r="P549">
        <v>274275</v>
      </c>
      <c r="Q549">
        <v>6</v>
      </c>
    </row>
    <row r="550" spans="1:17" x14ac:dyDescent="0.25">
      <c r="A550" s="1" t="s">
        <v>673</v>
      </c>
      <c r="B550" s="1" t="s">
        <v>51</v>
      </c>
      <c r="C550" s="1" t="s">
        <v>52</v>
      </c>
      <c r="D550" s="1" t="s">
        <v>28</v>
      </c>
      <c r="E550" s="1" t="s">
        <v>21</v>
      </c>
      <c r="F550" s="1" t="s">
        <v>40</v>
      </c>
      <c r="G550">
        <v>5154</v>
      </c>
      <c r="H550">
        <v>5</v>
      </c>
      <c r="I550">
        <v>12885</v>
      </c>
      <c r="J550">
        <v>270585</v>
      </c>
      <c r="K550" s="1" t="s">
        <v>171</v>
      </c>
      <c r="L550" s="2">
        <v>0.73958333333333337</v>
      </c>
      <c r="M550" s="1" t="s">
        <v>31</v>
      </c>
      <c r="N550">
        <v>2577</v>
      </c>
      <c r="O550">
        <v>4761904762</v>
      </c>
      <c r="P550">
        <v>12885</v>
      </c>
      <c r="Q550">
        <v>42</v>
      </c>
    </row>
    <row r="551" spans="1:17" x14ac:dyDescent="0.25">
      <c r="A551" s="1" t="s">
        <v>674</v>
      </c>
      <c r="B551" s="1" t="s">
        <v>18</v>
      </c>
      <c r="C551" s="1" t="s">
        <v>19</v>
      </c>
      <c r="D551" s="1" t="s">
        <v>28</v>
      </c>
      <c r="E551" s="1" t="s">
        <v>21</v>
      </c>
      <c r="F551" s="1" t="s">
        <v>29</v>
      </c>
      <c r="G551">
        <v>6606</v>
      </c>
      <c r="H551">
        <v>6</v>
      </c>
      <c r="I551">
        <v>19818</v>
      </c>
      <c r="J551">
        <v>416178</v>
      </c>
      <c r="K551" s="1" t="s">
        <v>173</v>
      </c>
      <c r="L551" s="2">
        <v>0.43611111111111112</v>
      </c>
      <c r="M551" s="1" t="s">
        <v>31</v>
      </c>
      <c r="N551">
        <v>39636</v>
      </c>
      <c r="O551">
        <v>4761904762</v>
      </c>
      <c r="P551">
        <v>19818</v>
      </c>
      <c r="Q551">
        <v>73</v>
      </c>
    </row>
    <row r="552" spans="1:17" x14ac:dyDescent="0.25">
      <c r="A552" s="1" t="s">
        <v>675</v>
      </c>
      <c r="B552" s="1" t="s">
        <v>51</v>
      </c>
      <c r="C552" s="1" t="s">
        <v>52</v>
      </c>
      <c r="D552" s="1" t="s">
        <v>28</v>
      </c>
      <c r="E552" s="1" t="s">
        <v>33</v>
      </c>
      <c r="F552" s="1" t="s">
        <v>56</v>
      </c>
      <c r="G552">
        <v>5727</v>
      </c>
      <c r="H552">
        <v>3</v>
      </c>
      <c r="I552">
        <v>85905</v>
      </c>
      <c r="J552">
        <v>1804005</v>
      </c>
      <c r="K552" s="1" t="s">
        <v>191</v>
      </c>
      <c r="L552" s="2">
        <v>0.85486111111111107</v>
      </c>
      <c r="M552" s="1" t="s">
        <v>24</v>
      </c>
      <c r="N552">
        <v>17181</v>
      </c>
      <c r="O552">
        <v>4761904762</v>
      </c>
      <c r="P552">
        <v>85905</v>
      </c>
      <c r="Q552">
        <v>65</v>
      </c>
    </row>
    <row r="553" spans="1:17" x14ac:dyDescent="0.25">
      <c r="A553" s="1" t="s">
        <v>676</v>
      </c>
      <c r="B553" s="1" t="s">
        <v>51</v>
      </c>
      <c r="C553" s="1" t="s">
        <v>52</v>
      </c>
      <c r="D553" s="1" t="s">
        <v>28</v>
      </c>
      <c r="E553" s="1" t="s">
        <v>21</v>
      </c>
      <c r="F553" s="1" t="s">
        <v>56</v>
      </c>
      <c r="G553">
        <v>5431</v>
      </c>
      <c r="H553">
        <v>9</v>
      </c>
      <c r="I553">
        <v>244395</v>
      </c>
      <c r="J553">
        <v>5132295</v>
      </c>
      <c r="K553" s="1" t="s">
        <v>250</v>
      </c>
      <c r="L553" s="2">
        <v>0.45069444444444445</v>
      </c>
      <c r="M553" s="1" t="s">
        <v>31</v>
      </c>
      <c r="N553">
        <v>48879</v>
      </c>
      <c r="O553">
        <v>4761904762</v>
      </c>
      <c r="P553">
        <v>244395</v>
      </c>
      <c r="Q553">
        <v>89</v>
      </c>
    </row>
    <row r="554" spans="1:17" x14ac:dyDescent="0.25">
      <c r="A554" s="1" t="s">
        <v>677</v>
      </c>
      <c r="B554" s="1" t="s">
        <v>51</v>
      </c>
      <c r="C554" s="1" t="s">
        <v>52</v>
      </c>
      <c r="D554" s="1" t="s">
        <v>28</v>
      </c>
      <c r="E554" s="1" t="s">
        <v>21</v>
      </c>
      <c r="F554" s="1" t="s">
        <v>22</v>
      </c>
      <c r="G554">
        <v>5824</v>
      </c>
      <c r="H554">
        <v>9</v>
      </c>
      <c r="I554">
        <v>26208</v>
      </c>
      <c r="J554">
        <v>550368</v>
      </c>
      <c r="K554" s="1" t="s">
        <v>210</v>
      </c>
      <c r="L554" s="2">
        <v>0.52361111111111114</v>
      </c>
      <c r="M554" s="1" t="s">
        <v>31</v>
      </c>
      <c r="N554">
        <v>52416</v>
      </c>
      <c r="O554">
        <v>4761904762</v>
      </c>
      <c r="P554">
        <v>26208</v>
      </c>
      <c r="Q554">
        <v>97</v>
      </c>
    </row>
    <row r="555" spans="1:17" x14ac:dyDescent="0.25">
      <c r="A555" s="1" t="s">
        <v>678</v>
      </c>
      <c r="B555" s="1" t="s">
        <v>26</v>
      </c>
      <c r="C555" s="1" t="s">
        <v>27</v>
      </c>
      <c r="D555" s="1" t="s">
        <v>28</v>
      </c>
      <c r="E555" s="1" t="s">
        <v>33</v>
      </c>
      <c r="F555" s="1" t="s">
        <v>29</v>
      </c>
      <c r="G555">
        <v>2221</v>
      </c>
      <c r="H555">
        <v>6</v>
      </c>
      <c r="I555">
        <v>6663</v>
      </c>
      <c r="J555">
        <v>139923</v>
      </c>
      <c r="K555" s="1" t="s">
        <v>128</v>
      </c>
      <c r="L555" s="2">
        <v>0.43263888888888891</v>
      </c>
      <c r="M555" s="1" t="s">
        <v>36</v>
      </c>
      <c r="N555">
        <v>13326</v>
      </c>
      <c r="O555">
        <v>4761904762</v>
      </c>
      <c r="P555">
        <v>6663</v>
      </c>
      <c r="Q555">
        <v>86</v>
      </c>
    </row>
    <row r="556" spans="1:17" x14ac:dyDescent="0.25">
      <c r="A556" s="1" t="s">
        <v>679</v>
      </c>
      <c r="B556" s="1" t="s">
        <v>18</v>
      </c>
      <c r="C556" s="1" t="s">
        <v>19</v>
      </c>
      <c r="D556" s="1" t="s">
        <v>20</v>
      </c>
      <c r="E556" s="1" t="s">
        <v>33</v>
      </c>
      <c r="F556" s="1" t="s">
        <v>29</v>
      </c>
      <c r="G556">
        <v>1932</v>
      </c>
      <c r="H556">
        <v>7</v>
      </c>
      <c r="I556">
        <v>6762</v>
      </c>
      <c r="J556">
        <v>142002</v>
      </c>
      <c r="K556" s="1" t="s">
        <v>43</v>
      </c>
      <c r="L556" s="2">
        <v>0.78541666666666665</v>
      </c>
      <c r="M556" s="1" t="s">
        <v>31</v>
      </c>
      <c r="N556">
        <v>13524</v>
      </c>
      <c r="O556">
        <v>4761904762</v>
      </c>
      <c r="P556">
        <v>6762</v>
      </c>
      <c r="Q556">
        <v>69</v>
      </c>
    </row>
    <row r="557" spans="1:17" x14ac:dyDescent="0.25">
      <c r="A557" s="1" t="s">
        <v>680</v>
      </c>
      <c r="B557" s="1" t="s">
        <v>51</v>
      </c>
      <c r="C557" s="1" t="s">
        <v>52</v>
      </c>
      <c r="D557" s="1" t="s">
        <v>28</v>
      </c>
      <c r="E557" s="1" t="s">
        <v>33</v>
      </c>
      <c r="F557" s="1" t="s">
        <v>34</v>
      </c>
      <c r="G557">
        <v>3748</v>
      </c>
      <c r="H557">
        <v>3</v>
      </c>
      <c r="I557">
        <v>5622</v>
      </c>
      <c r="J557">
        <v>118062</v>
      </c>
      <c r="K557" s="1" t="s">
        <v>135</v>
      </c>
      <c r="L557" s="2">
        <v>0.57291666666666663</v>
      </c>
      <c r="M557" s="1" t="s">
        <v>36</v>
      </c>
      <c r="N557">
        <v>11244</v>
      </c>
      <c r="O557">
        <v>4761904762</v>
      </c>
      <c r="P557">
        <v>5622</v>
      </c>
      <c r="Q557">
        <v>77</v>
      </c>
    </row>
    <row r="558" spans="1:17" x14ac:dyDescent="0.25">
      <c r="A558" s="1" t="s">
        <v>681</v>
      </c>
      <c r="B558" s="1" t="s">
        <v>51</v>
      </c>
      <c r="C558" s="1" t="s">
        <v>52</v>
      </c>
      <c r="D558" s="1" t="s">
        <v>20</v>
      </c>
      <c r="E558" s="1" t="s">
        <v>21</v>
      </c>
      <c r="F558" s="1" t="s">
        <v>56</v>
      </c>
      <c r="G558">
        <v>7204</v>
      </c>
      <c r="H558">
        <v>2</v>
      </c>
      <c r="I558">
        <v>7204</v>
      </c>
      <c r="J558">
        <v>151284</v>
      </c>
      <c r="K558" s="1" t="s">
        <v>470</v>
      </c>
      <c r="L558" s="2">
        <v>0.81805555555555554</v>
      </c>
      <c r="M558" s="1" t="s">
        <v>31</v>
      </c>
      <c r="N558">
        <v>14408</v>
      </c>
      <c r="O558">
        <v>4761904762</v>
      </c>
      <c r="P558">
        <v>7204</v>
      </c>
      <c r="Q558">
        <v>95</v>
      </c>
    </row>
    <row r="559" spans="1:17" x14ac:dyDescent="0.25">
      <c r="A559" s="1" t="s">
        <v>682</v>
      </c>
      <c r="B559" s="1" t="s">
        <v>26</v>
      </c>
      <c r="C559" s="1" t="s">
        <v>27</v>
      </c>
      <c r="D559" s="1" t="s">
        <v>20</v>
      </c>
      <c r="E559" s="1" t="s">
        <v>21</v>
      </c>
      <c r="F559" s="1" t="s">
        <v>53</v>
      </c>
      <c r="G559">
        <v>9852</v>
      </c>
      <c r="H559">
        <v>10</v>
      </c>
      <c r="I559">
        <v>4926</v>
      </c>
      <c r="J559">
        <v>103446</v>
      </c>
      <c r="K559" s="1" t="s">
        <v>274</v>
      </c>
      <c r="L559" s="2">
        <v>0.84930555555555554</v>
      </c>
      <c r="M559" s="1" t="s">
        <v>24</v>
      </c>
      <c r="N559">
        <v>9852</v>
      </c>
      <c r="O559">
        <v>4761904762</v>
      </c>
      <c r="P559">
        <v>4926</v>
      </c>
      <c r="Q559">
        <v>45</v>
      </c>
    </row>
    <row r="560" spans="1:17" x14ac:dyDescent="0.25">
      <c r="A560" s="1" t="s">
        <v>683</v>
      </c>
      <c r="B560" s="1" t="s">
        <v>18</v>
      </c>
      <c r="C560" s="1" t="s">
        <v>19</v>
      </c>
      <c r="D560" s="1" t="s">
        <v>20</v>
      </c>
      <c r="E560" s="1" t="s">
        <v>33</v>
      </c>
      <c r="F560" s="1" t="s">
        <v>53</v>
      </c>
      <c r="G560">
        <v>4166</v>
      </c>
      <c r="H560">
        <v>6</v>
      </c>
      <c r="I560">
        <v>12498</v>
      </c>
      <c r="J560">
        <v>262458</v>
      </c>
      <c r="K560" s="1" t="s">
        <v>181</v>
      </c>
      <c r="L560" s="2">
        <v>0.64166666666666672</v>
      </c>
      <c r="M560" s="1" t="s">
        <v>24</v>
      </c>
      <c r="N560">
        <v>24996</v>
      </c>
      <c r="O560">
        <v>4761904762</v>
      </c>
      <c r="P560">
        <v>12498</v>
      </c>
      <c r="Q560">
        <v>56</v>
      </c>
    </row>
    <row r="561" spans="1:17" x14ac:dyDescent="0.25">
      <c r="A561" s="1" t="s">
        <v>684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34</v>
      </c>
      <c r="G561">
        <v>7242</v>
      </c>
      <c r="H561">
        <v>3</v>
      </c>
      <c r="I561">
        <v>10863</v>
      </c>
      <c r="J561">
        <v>228123</v>
      </c>
      <c r="K561" s="1" t="s">
        <v>65</v>
      </c>
      <c r="L561" s="2">
        <v>0.70416666666666672</v>
      </c>
      <c r="M561" s="1" t="s">
        <v>24</v>
      </c>
      <c r="N561">
        <v>21726</v>
      </c>
      <c r="O561">
        <v>4761904762</v>
      </c>
      <c r="P561">
        <v>10863</v>
      </c>
      <c r="Q561">
        <v>82</v>
      </c>
    </row>
    <row r="562" spans="1:17" x14ac:dyDescent="0.25">
      <c r="A562" s="1" t="s">
        <v>685</v>
      </c>
      <c r="B562" s="1" t="s">
        <v>51</v>
      </c>
      <c r="C562" s="1" t="s">
        <v>52</v>
      </c>
      <c r="D562" s="1" t="s">
        <v>28</v>
      </c>
      <c r="E562" s="1" t="s">
        <v>33</v>
      </c>
      <c r="F562" s="1" t="s">
        <v>29</v>
      </c>
      <c r="G562">
        <v>2158</v>
      </c>
      <c r="H562">
        <v>9</v>
      </c>
      <c r="I562">
        <v>9711</v>
      </c>
      <c r="J562">
        <v>203931</v>
      </c>
      <c r="K562" s="1" t="s">
        <v>389</v>
      </c>
      <c r="L562" s="2">
        <v>0.52222222222222225</v>
      </c>
      <c r="M562" s="1" t="s">
        <v>31</v>
      </c>
      <c r="N562">
        <v>19422</v>
      </c>
      <c r="O562">
        <v>4761904762</v>
      </c>
      <c r="P562">
        <v>9711</v>
      </c>
      <c r="Q562">
        <v>73</v>
      </c>
    </row>
    <row r="563" spans="1:17" x14ac:dyDescent="0.25">
      <c r="A563" s="1" t="s">
        <v>686</v>
      </c>
      <c r="B563" s="1" t="s">
        <v>26</v>
      </c>
      <c r="C563" s="1" t="s">
        <v>27</v>
      </c>
      <c r="D563" s="1" t="s">
        <v>28</v>
      </c>
      <c r="E563" s="1" t="s">
        <v>33</v>
      </c>
      <c r="F563" s="1" t="s">
        <v>53</v>
      </c>
      <c r="G563">
        <v>892</v>
      </c>
      <c r="H563">
        <v>10</v>
      </c>
      <c r="I563">
        <v>446</v>
      </c>
      <c r="J563">
        <v>9366</v>
      </c>
      <c r="K563" s="1" t="s">
        <v>156</v>
      </c>
      <c r="L563" s="2">
        <v>0.65416666666666667</v>
      </c>
      <c r="M563" s="1" t="s">
        <v>36</v>
      </c>
      <c r="N563">
        <v>892</v>
      </c>
      <c r="O563">
        <v>4761904762</v>
      </c>
      <c r="P563">
        <v>446</v>
      </c>
      <c r="Q563">
        <v>44</v>
      </c>
    </row>
    <row r="564" spans="1:17" x14ac:dyDescent="0.25">
      <c r="A564" s="1" t="s">
        <v>687</v>
      </c>
      <c r="B564" s="1" t="s">
        <v>51</v>
      </c>
      <c r="C564" s="1" t="s">
        <v>52</v>
      </c>
      <c r="D564" s="1" t="s">
        <v>28</v>
      </c>
      <c r="E564" s="1" t="s">
        <v>21</v>
      </c>
      <c r="F564" s="1" t="s">
        <v>29</v>
      </c>
      <c r="G564">
        <v>4242</v>
      </c>
      <c r="H564">
        <v>8</v>
      </c>
      <c r="I564">
        <v>16968</v>
      </c>
      <c r="J564">
        <v>356328</v>
      </c>
      <c r="K564" s="1" t="s">
        <v>274</v>
      </c>
      <c r="L564" s="2">
        <v>0.58194444444444449</v>
      </c>
      <c r="M564" s="1" t="s">
        <v>24</v>
      </c>
      <c r="N564">
        <v>33936</v>
      </c>
      <c r="O564">
        <v>4761904762</v>
      </c>
      <c r="P564">
        <v>16968</v>
      </c>
      <c r="Q564">
        <v>57</v>
      </c>
    </row>
    <row r="565" spans="1:17" x14ac:dyDescent="0.25">
      <c r="A565" s="1" t="s">
        <v>688</v>
      </c>
      <c r="B565" s="1" t="s">
        <v>18</v>
      </c>
      <c r="C565" s="1" t="s">
        <v>19</v>
      </c>
      <c r="D565" s="1" t="s">
        <v>20</v>
      </c>
      <c r="E565" s="1" t="s">
        <v>33</v>
      </c>
      <c r="F565" s="1" t="s">
        <v>29</v>
      </c>
      <c r="G565">
        <v>7451</v>
      </c>
      <c r="H565">
        <v>6</v>
      </c>
      <c r="I565">
        <v>22353</v>
      </c>
      <c r="J565">
        <v>469413</v>
      </c>
      <c r="K565" s="1" t="s">
        <v>329</v>
      </c>
      <c r="L565" s="2">
        <v>0.63055555555555554</v>
      </c>
      <c r="M565" s="1" t="s">
        <v>24</v>
      </c>
      <c r="N565">
        <v>44706</v>
      </c>
      <c r="O565">
        <v>4761904762</v>
      </c>
      <c r="P565">
        <v>22353</v>
      </c>
      <c r="Q565">
        <v>5</v>
      </c>
    </row>
    <row r="566" spans="1:17" x14ac:dyDescent="0.25">
      <c r="A566" s="1" t="s">
        <v>689</v>
      </c>
      <c r="B566" s="1" t="s">
        <v>51</v>
      </c>
      <c r="C566" s="1" t="s">
        <v>52</v>
      </c>
      <c r="D566" s="1" t="s">
        <v>28</v>
      </c>
      <c r="E566" s="1" t="s">
        <v>33</v>
      </c>
      <c r="F566" s="1" t="s">
        <v>56</v>
      </c>
      <c r="G566">
        <v>9925</v>
      </c>
      <c r="H566">
        <v>2</v>
      </c>
      <c r="I566">
        <v>9925</v>
      </c>
      <c r="J566">
        <v>208425</v>
      </c>
      <c r="K566" s="1" t="s">
        <v>329</v>
      </c>
      <c r="L566" s="2">
        <v>0.54305555555555551</v>
      </c>
      <c r="M566" s="1" t="s">
        <v>31</v>
      </c>
      <c r="N566">
        <v>1985</v>
      </c>
      <c r="O566">
        <v>4761904762</v>
      </c>
      <c r="P566">
        <v>9925</v>
      </c>
      <c r="Q566">
        <v>9</v>
      </c>
    </row>
    <row r="567" spans="1:17" x14ac:dyDescent="0.25">
      <c r="A567" s="1" t="s">
        <v>690</v>
      </c>
      <c r="B567" s="1" t="s">
        <v>18</v>
      </c>
      <c r="C567" s="1" t="s">
        <v>19</v>
      </c>
      <c r="D567" s="1" t="s">
        <v>28</v>
      </c>
      <c r="E567" s="1" t="s">
        <v>21</v>
      </c>
      <c r="F567" s="1" t="s">
        <v>53</v>
      </c>
      <c r="G567">
        <v>8121</v>
      </c>
      <c r="H567">
        <v>10</v>
      </c>
      <c r="I567">
        <v>40605</v>
      </c>
      <c r="J567">
        <v>852705</v>
      </c>
      <c r="K567" s="1" t="s">
        <v>106</v>
      </c>
      <c r="L567" s="2">
        <v>0.54236111111111107</v>
      </c>
      <c r="M567" s="1" t="s">
        <v>36</v>
      </c>
      <c r="N567">
        <v>8121</v>
      </c>
      <c r="O567">
        <v>4761904762</v>
      </c>
      <c r="P567">
        <v>40605</v>
      </c>
      <c r="Q567">
        <v>63</v>
      </c>
    </row>
    <row r="568" spans="1:17" x14ac:dyDescent="0.25">
      <c r="A568" s="1" t="s">
        <v>691</v>
      </c>
      <c r="B568" s="1" t="s">
        <v>26</v>
      </c>
      <c r="C568" s="1" t="s">
        <v>27</v>
      </c>
      <c r="D568" s="1" t="s">
        <v>28</v>
      </c>
      <c r="E568" s="1" t="s">
        <v>21</v>
      </c>
      <c r="F568" s="1" t="s">
        <v>40</v>
      </c>
      <c r="G568">
        <v>4933</v>
      </c>
      <c r="H568">
        <v>10</v>
      </c>
      <c r="I568">
        <v>24665</v>
      </c>
      <c r="J568">
        <v>517965</v>
      </c>
      <c r="K568" s="1" t="s">
        <v>123</v>
      </c>
      <c r="L568" s="2">
        <v>0.69444444444444442</v>
      </c>
      <c r="M568" s="1" t="s">
        <v>36</v>
      </c>
      <c r="N568">
        <v>4933</v>
      </c>
      <c r="O568">
        <v>4761904762</v>
      </c>
      <c r="P568">
        <v>24665</v>
      </c>
      <c r="Q568">
        <v>94</v>
      </c>
    </row>
    <row r="569" spans="1:17" x14ac:dyDescent="0.25">
      <c r="A569" s="1" t="s">
        <v>692</v>
      </c>
      <c r="B569" s="1" t="s">
        <v>18</v>
      </c>
      <c r="C569" s="1" t="s">
        <v>19</v>
      </c>
      <c r="D569" s="1" t="s">
        <v>28</v>
      </c>
      <c r="E569" s="1" t="s">
        <v>21</v>
      </c>
      <c r="F569" s="1" t="s">
        <v>56</v>
      </c>
      <c r="G569">
        <v>6574</v>
      </c>
      <c r="H569">
        <v>9</v>
      </c>
      <c r="I569">
        <v>29583</v>
      </c>
      <c r="J569">
        <v>621243</v>
      </c>
      <c r="K569" s="1" t="s">
        <v>71</v>
      </c>
      <c r="L569" s="2">
        <v>0.57986111111111116</v>
      </c>
      <c r="M569" s="1" t="s">
        <v>31</v>
      </c>
      <c r="N569">
        <v>59166</v>
      </c>
      <c r="O569">
        <v>4761904762</v>
      </c>
      <c r="P569">
        <v>29583</v>
      </c>
      <c r="Q569">
        <v>77</v>
      </c>
    </row>
    <row r="570" spans="1:17" x14ac:dyDescent="0.25">
      <c r="A570" s="1" t="s">
        <v>693</v>
      </c>
      <c r="B570" s="1" t="s">
        <v>51</v>
      </c>
      <c r="C570" s="1" t="s">
        <v>52</v>
      </c>
      <c r="D570" s="1" t="s">
        <v>28</v>
      </c>
      <c r="E570" s="1" t="s">
        <v>21</v>
      </c>
      <c r="F570" s="1" t="s">
        <v>56</v>
      </c>
      <c r="G570">
        <v>7986</v>
      </c>
      <c r="H570">
        <v>7</v>
      </c>
      <c r="I570">
        <v>27951</v>
      </c>
      <c r="J570">
        <v>586971</v>
      </c>
      <c r="K570" s="1" t="s">
        <v>49</v>
      </c>
      <c r="L570" s="2">
        <v>0.43958333333333333</v>
      </c>
      <c r="M570" s="1" t="s">
        <v>36</v>
      </c>
      <c r="N570">
        <v>55902</v>
      </c>
      <c r="O570">
        <v>4761904762</v>
      </c>
      <c r="P570">
        <v>27951</v>
      </c>
      <c r="Q570">
        <v>55</v>
      </c>
    </row>
    <row r="571" spans="1:17" x14ac:dyDescent="0.25">
      <c r="A571" s="1" t="s">
        <v>694</v>
      </c>
      <c r="B571" s="1" t="s">
        <v>26</v>
      </c>
      <c r="C571" s="1" t="s">
        <v>27</v>
      </c>
      <c r="D571" s="1" t="s">
        <v>28</v>
      </c>
      <c r="E571" s="1" t="s">
        <v>21</v>
      </c>
      <c r="F571" s="1" t="s">
        <v>40</v>
      </c>
      <c r="G571">
        <v>7398</v>
      </c>
      <c r="H571">
        <v>7</v>
      </c>
      <c r="I571">
        <v>25893</v>
      </c>
      <c r="J571">
        <v>543753</v>
      </c>
      <c r="K571" s="1" t="s">
        <v>83</v>
      </c>
      <c r="L571" s="2">
        <v>0.6958333333333333</v>
      </c>
      <c r="M571" s="1" t="s">
        <v>24</v>
      </c>
      <c r="N571">
        <v>51786</v>
      </c>
      <c r="O571">
        <v>4761904762</v>
      </c>
      <c r="P571">
        <v>25893</v>
      </c>
      <c r="Q571">
        <v>41</v>
      </c>
    </row>
    <row r="572" spans="1:17" x14ac:dyDescent="0.25">
      <c r="A572" s="1" t="s">
        <v>695</v>
      </c>
      <c r="B572" s="1" t="s">
        <v>51</v>
      </c>
      <c r="C572" s="1" t="s">
        <v>52</v>
      </c>
      <c r="D572" s="1" t="s">
        <v>20</v>
      </c>
      <c r="E572" s="1" t="s">
        <v>21</v>
      </c>
      <c r="F572" s="1" t="s">
        <v>34</v>
      </c>
      <c r="G572">
        <v>8204</v>
      </c>
      <c r="H572">
        <v>5</v>
      </c>
      <c r="I572">
        <v>2051</v>
      </c>
      <c r="J572">
        <v>43071</v>
      </c>
      <c r="K572" s="1" t="s">
        <v>45</v>
      </c>
      <c r="L572" s="2">
        <v>0.71944444444444444</v>
      </c>
      <c r="M572" s="1" t="s">
        <v>36</v>
      </c>
      <c r="N572">
        <v>4102</v>
      </c>
      <c r="O572">
        <v>4761904762</v>
      </c>
      <c r="P572">
        <v>2051</v>
      </c>
      <c r="Q572">
        <v>76</v>
      </c>
    </row>
    <row r="573" spans="1:17" x14ac:dyDescent="0.25">
      <c r="A573" s="1" t="s">
        <v>696</v>
      </c>
      <c r="B573" s="1" t="s">
        <v>51</v>
      </c>
      <c r="C573" s="1" t="s">
        <v>52</v>
      </c>
      <c r="D573" s="1" t="s">
        <v>20</v>
      </c>
      <c r="E573" s="1" t="s">
        <v>33</v>
      </c>
      <c r="F573" s="1" t="s">
        <v>40</v>
      </c>
      <c r="G573">
        <v>2667</v>
      </c>
      <c r="H573">
        <v>10</v>
      </c>
      <c r="I573">
        <v>13335</v>
      </c>
      <c r="J573">
        <v>280035</v>
      </c>
      <c r="K573" s="1" t="s">
        <v>260</v>
      </c>
      <c r="L573" s="2">
        <v>0.49166666666666664</v>
      </c>
      <c r="M573" s="1" t="s">
        <v>31</v>
      </c>
      <c r="N573">
        <v>2667</v>
      </c>
      <c r="O573">
        <v>4761904762</v>
      </c>
      <c r="P573">
        <v>13335</v>
      </c>
      <c r="Q573">
        <v>86</v>
      </c>
    </row>
    <row r="574" spans="1:17" x14ac:dyDescent="0.25">
      <c r="A574" s="1" t="s">
        <v>697</v>
      </c>
      <c r="B574" s="1" t="s">
        <v>18</v>
      </c>
      <c r="C574" s="1" t="s">
        <v>19</v>
      </c>
      <c r="D574" s="1" t="s">
        <v>20</v>
      </c>
      <c r="E574" s="1" t="s">
        <v>33</v>
      </c>
      <c r="F574" s="1" t="s">
        <v>53</v>
      </c>
      <c r="G574">
        <v>1013</v>
      </c>
      <c r="H574">
        <v>7</v>
      </c>
      <c r="I574">
        <v>35455</v>
      </c>
      <c r="J574">
        <v>744555</v>
      </c>
      <c r="K574" s="1" t="s">
        <v>88</v>
      </c>
      <c r="L574" s="2">
        <v>0.81597222222222221</v>
      </c>
      <c r="M574" s="1" t="s">
        <v>24</v>
      </c>
      <c r="N574">
        <v>7091</v>
      </c>
      <c r="O574">
        <v>4761904762</v>
      </c>
      <c r="P574">
        <v>35455</v>
      </c>
      <c r="Q574">
        <v>83</v>
      </c>
    </row>
    <row r="575" spans="1:17" x14ac:dyDescent="0.25">
      <c r="A575" s="1" t="s">
        <v>698</v>
      </c>
      <c r="B575" s="1" t="s">
        <v>51</v>
      </c>
      <c r="C575" s="1" t="s">
        <v>52</v>
      </c>
      <c r="D575" s="1" t="s">
        <v>28</v>
      </c>
      <c r="E575" s="1" t="s">
        <v>33</v>
      </c>
      <c r="F575" s="1" t="s">
        <v>53</v>
      </c>
      <c r="G575">
        <v>7239</v>
      </c>
      <c r="H575">
        <v>2</v>
      </c>
      <c r="I575">
        <v>7239</v>
      </c>
      <c r="J575">
        <v>152019</v>
      </c>
      <c r="K575" s="1" t="s">
        <v>162</v>
      </c>
      <c r="L575" s="2">
        <v>0.82986111111111116</v>
      </c>
      <c r="M575" s="1" t="s">
        <v>36</v>
      </c>
      <c r="N575">
        <v>14478</v>
      </c>
      <c r="O575">
        <v>4761904762</v>
      </c>
      <c r="P575">
        <v>7239</v>
      </c>
      <c r="Q575">
        <v>81</v>
      </c>
    </row>
    <row r="576" spans="1:17" x14ac:dyDescent="0.25">
      <c r="A576" s="1" t="s">
        <v>699</v>
      </c>
      <c r="B576" s="1" t="s">
        <v>18</v>
      </c>
      <c r="C576" s="1" t="s">
        <v>19</v>
      </c>
      <c r="D576" s="1" t="s">
        <v>28</v>
      </c>
      <c r="E576" s="1" t="s">
        <v>33</v>
      </c>
      <c r="F576" s="1" t="s">
        <v>40</v>
      </c>
      <c r="G576">
        <v>8591</v>
      </c>
      <c r="H576">
        <v>5</v>
      </c>
      <c r="I576">
        <v>214775</v>
      </c>
      <c r="J576">
        <v>4510275</v>
      </c>
      <c r="K576" s="1" t="s">
        <v>85</v>
      </c>
      <c r="L576" s="2">
        <v>0.60624999999999996</v>
      </c>
      <c r="M576" s="1" t="s">
        <v>36</v>
      </c>
      <c r="N576">
        <v>42955</v>
      </c>
      <c r="O576">
        <v>4761904762</v>
      </c>
      <c r="P576">
        <v>214775</v>
      </c>
      <c r="Q576">
        <v>86</v>
      </c>
    </row>
    <row r="577" spans="1:17" x14ac:dyDescent="0.25">
      <c r="A577" s="1" t="s">
        <v>700</v>
      </c>
      <c r="B577" s="1" t="s">
        <v>51</v>
      </c>
      <c r="C577" s="1" t="s">
        <v>52</v>
      </c>
      <c r="D577" s="1" t="s">
        <v>20</v>
      </c>
      <c r="E577" s="1" t="s">
        <v>33</v>
      </c>
      <c r="F577" s="1" t="s">
        <v>56</v>
      </c>
      <c r="G577">
        <v>8131</v>
      </c>
      <c r="H577">
        <v>7</v>
      </c>
      <c r="I577">
        <v>284585</v>
      </c>
      <c r="J577">
        <v>5976285</v>
      </c>
      <c r="K577" s="1" t="s">
        <v>197</v>
      </c>
      <c r="L577" s="2">
        <v>0.8256944444444444</v>
      </c>
      <c r="M577" s="1" t="s">
        <v>24</v>
      </c>
      <c r="N577">
        <v>56917</v>
      </c>
      <c r="O577">
        <v>4761904762</v>
      </c>
      <c r="P577">
        <v>284585</v>
      </c>
      <c r="Q577">
        <v>63</v>
      </c>
    </row>
    <row r="578" spans="1:17" x14ac:dyDescent="0.25">
      <c r="A578" s="1" t="s">
        <v>701</v>
      </c>
      <c r="B578" s="1" t="s">
        <v>51</v>
      </c>
      <c r="C578" s="1" t="s">
        <v>52</v>
      </c>
      <c r="D578" s="1" t="s">
        <v>28</v>
      </c>
      <c r="E578" s="1" t="s">
        <v>33</v>
      </c>
      <c r="F578" s="1" t="s">
        <v>53</v>
      </c>
      <c r="G578">
        <v>603</v>
      </c>
      <c r="H578">
        <v>4</v>
      </c>
      <c r="I578">
        <v>1206</v>
      </c>
      <c r="J578">
        <v>25326</v>
      </c>
      <c r="K578" s="1" t="s">
        <v>54</v>
      </c>
      <c r="L578" s="2">
        <v>0.77986111111111112</v>
      </c>
      <c r="M578" s="1" t="s">
        <v>31</v>
      </c>
      <c r="N578">
        <v>2412</v>
      </c>
      <c r="O578">
        <v>4761904762</v>
      </c>
      <c r="P578">
        <v>1206</v>
      </c>
      <c r="Q578">
        <v>58</v>
      </c>
    </row>
    <row r="579" spans="1:17" x14ac:dyDescent="0.25">
      <c r="A579" s="1" t="s">
        <v>702</v>
      </c>
      <c r="B579" s="1" t="s">
        <v>26</v>
      </c>
      <c r="C579" s="1" t="s">
        <v>27</v>
      </c>
      <c r="D579" s="1" t="s">
        <v>28</v>
      </c>
      <c r="E579" s="1" t="s">
        <v>33</v>
      </c>
      <c r="F579" s="1" t="s">
        <v>53</v>
      </c>
      <c r="G579">
        <v>3177</v>
      </c>
      <c r="H579">
        <v>4</v>
      </c>
      <c r="I579">
        <v>6354</v>
      </c>
      <c r="J579">
        <v>133434</v>
      </c>
      <c r="K579" s="1" t="s">
        <v>317</v>
      </c>
      <c r="L579" s="2">
        <v>0.61319444444444449</v>
      </c>
      <c r="M579" s="1" t="s">
        <v>24</v>
      </c>
      <c r="N579">
        <v>12708</v>
      </c>
      <c r="O579">
        <v>4761904762</v>
      </c>
      <c r="P579">
        <v>6354</v>
      </c>
      <c r="Q579">
        <v>62</v>
      </c>
    </row>
    <row r="580" spans="1:17" x14ac:dyDescent="0.25">
      <c r="A580" s="1" t="s">
        <v>703</v>
      </c>
      <c r="B580" s="1" t="s">
        <v>18</v>
      </c>
      <c r="C580" s="1" t="s">
        <v>19</v>
      </c>
      <c r="D580" s="1" t="s">
        <v>28</v>
      </c>
      <c r="E580" s="1" t="s">
        <v>21</v>
      </c>
      <c r="F580" s="1" t="s">
        <v>22</v>
      </c>
      <c r="G580">
        <v>6427</v>
      </c>
      <c r="H580">
        <v>4</v>
      </c>
      <c r="I580">
        <v>12854</v>
      </c>
      <c r="J580">
        <v>269934</v>
      </c>
      <c r="K580" s="1" t="s">
        <v>195</v>
      </c>
      <c r="L580" s="2">
        <v>0.57916666666666672</v>
      </c>
      <c r="M580" s="1" t="s">
        <v>31</v>
      </c>
      <c r="N580">
        <v>25708</v>
      </c>
      <c r="O580">
        <v>4761904762</v>
      </c>
      <c r="P580">
        <v>12854</v>
      </c>
      <c r="Q580">
        <v>77</v>
      </c>
    </row>
    <row r="581" spans="1:17" x14ac:dyDescent="0.25">
      <c r="A581" s="1" t="s">
        <v>704</v>
      </c>
      <c r="B581" s="1" t="s">
        <v>51</v>
      </c>
      <c r="C581" s="1" t="s">
        <v>52</v>
      </c>
      <c r="D581" s="1" t="s">
        <v>28</v>
      </c>
      <c r="E581" s="1" t="s">
        <v>33</v>
      </c>
      <c r="F581" s="1" t="s">
        <v>22</v>
      </c>
      <c r="G581">
        <v>6951</v>
      </c>
      <c r="H581">
        <v>2</v>
      </c>
      <c r="I581">
        <v>6951</v>
      </c>
      <c r="J581">
        <v>145971</v>
      </c>
      <c r="K581" s="1" t="s">
        <v>197</v>
      </c>
      <c r="L581" s="2">
        <v>0.51041666666666663</v>
      </c>
      <c r="M581" s="1" t="s">
        <v>24</v>
      </c>
      <c r="N581">
        <v>13902</v>
      </c>
      <c r="O581">
        <v>4761904762</v>
      </c>
      <c r="P581">
        <v>6951</v>
      </c>
      <c r="Q581">
        <v>81</v>
      </c>
    </row>
    <row r="582" spans="1:17" x14ac:dyDescent="0.25">
      <c r="A582" s="1" t="s">
        <v>705</v>
      </c>
      <c r="B582" s="1" t="s">
        <v>26</v>
      </c>
      <c r="C582" s="1" t="s">
        <v>27</v>
      </c>
      <c r="D582" s="1" t="s">
        <v>28</v>
      </c>
      <c r="E582" s="1" t="s">
        <v>33</v>
      </c>
      <c r="F582" s="1" t="s">
        <v>53</v>
      </c>
      <c r="G582">
        <v>2722</v>
      </c>
      <c r="H582">
        <v>3</v>
      </c>
      <c r="I582">
        <v>4083</v>
      </c>
      <c r="J582">
        <v>85743</v>
      </c>
      <c r="K582" s="1" t="s">
        <v>99</v>
      </c>
      <c r="L582" s="2">
        <v>0.52569444444444446</v>
      </c>
      <c r="M582" s="1" t="s">
        <v>31</v>
      </c>
      <c r="N582">
        <v>8166</v>
      </c>
      <c r="O582">
        <v>4761904762</v>
      </c>
      <c r="P582">
        <v>4083</v>
      </c>
      <c r="Q582">
        <v>73</v>
      </c>
    </row>
    <row r="583" spans="1:17" x14ac:dyDescent="0.25">
      <c r="A583" s="1" t="s">
        <v>706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>
        <v>7768</v>
      </c>
      <c r="H583">
        <v>4</v>
      </c>
      <c r="I583">
        <v>15536</v>
      </c>
      <c r="J583">
        <v>326256</v>
      </c>
      <c r="K583" s="1" t="s">
        <v>199</v>
      </c>
      <c r="L583" s="2">
        <v>0.82916666666666672</v>
      </c>
      <c r="M583" s="1" t="s">
        <v>31</v>
      </c>
      <c r="N583">
        <v>31072</v>
      </c>
      <c r="O583">
        <v>4761904762</v>
      </c>
      <c r="P583">
        <v>15536</v>
      </c>
      <c r="Q583">
        <v>84</v>
      </c>
    </row>
    <row r="584" spans="1:17" x14ac:dyDescent="0.25">
      <c r="A584" s="1" t="s">
        <v>707</v>
      </c>
      <c r="B584" s="1" t="s">
        <v>26</v>
      </c>
      <c r="C584" s="1" t="s">
        <v>27</v>
      </c>
      <c r="D584" s="1" t="s">
        <v>20</v>
      </c>
      <c r="E584" s="1" t="s">
        <v>21</v>
      </c>
      <c r="F584" s="1" t="s">
        <v>56</v>
      </c>
      <c r="G584">
        <v>9298</v>
      </c>
      <c r="H584">
        <v>2</v>
      </c>
      <c r="I584">
        <v>9298</v>
      </c>
      <c r="J584">
        <v>195258</v>
      </c>
      <c r="K584" s="1" t="s">
        <v>291</v>
      </c>
      <c r="L584" s="2">
        <v>0.62916666666666665</v>
      </c>
      <c r="M584" s="1" t="s">
        <v>36</v>
      </c>
      <c r="N584">
        <v>18596</v>
      </c>
      <c r="O584">
        <v>4761904762</v>
      </c>
      <c r="P584">
        <v>9298</v>
      </c>
      <c r="Q584">
        <v>8</v>
      </c>
    </row>
    <row r="585" spans="1:17" x14ac:dyDescent="0.25">
      <c r="A585" s="1" t="s">
        <v>708</v>
      </c>
      <c r="B585" s="1" t="s">
        <v>51</v>
      </c>
      <c r="C585" s="1" t="s">
        <v>52</v>
      </c>
      <c r="D585" s="1" t="s">
        <v>20</v>
      </c>
      <c r="E585" s="1" t="s">
        <v>21</v>
      </c>
      <c r="F585" s="1" t="s">
        <v>56</v>
      </c>
      <c r="G585">
        <v>1808</v>
      </c>
      <c r="H585">
        <v>4</v>
      </c>
      <c r="I585">
        <v>3616</v>
      </c>
      <c r="J585">
        <v>75936</v>
      </c>
      <c r="K585" s="1" t="s">
        <v>317</v>
      </c>
      <c r="L585" s="2">
        <v>0.75208333333333333</v>
      </c>
      <c r="M585" s="1" t="s">
        <v>36</v>
      </c>
      <c r="N585">
        <v>7232</v>
      </c>
      <c r="O585">
        <v>4761904762</v>
      </c>
      <c r="P585">
        <v>3616</v>
      </c>
      <c r="Q585">
        <v>95</v>
      </c>
    </row>
    <row r="586" spans="1:17" x14ac:dyDescent="0.25">
      <c r="A586" s="1" t="s">
        <v>709</v>
      </c>
      <c r="B586" s="1" t="s">
        <v>51</v>
      </c>
      <c r="C586" s="1" t="s">
        <v>52</v>
      </c>
      <c r="D586" s="1" t="s">
        <v>28</v>
      </c>
      <c r="E586" s="1" t="s">
        <v>33</v>
      </c>
      <c r="F586" s="1" t="s">
        <v>40</v>
      </c>
      <c r="G586">
        <v>6306</v>
      </c>
      <c r="H586">
        <v>3</v>
      </c>
      <c r="I586">
        <v>9459</v>
      </c>
      <c r="J586">
        <v>198639</v>
      </c>
      <c r="K586" s="1" t="s">
        <v>214</v>
      </c>
      <c r="L586" s="2">
        <v>0.66527777777777775</v>
      </c>
      <c r="M586" s="1" t="s">
        <v>24</v>
      </c>
      <c r="N586">
        <v>18918</v>
      </c>
      <c r="O586">
        <v>4761904762</v>
      </c>
      <c r="P586">
        <v>9459</v>
      </c>
      <c r="Q586">
        <v>7</v>
      </c>
    </row>
    <row r="587" spans="1:17" x14ac:dyDescent="0.25">
      <c r="A587" s="1" t="s">
        <v>710</v>
      </c>
      <c r="B587" s="1" t="s">
        <v>18</v>
      </c>
      <c r="C587" s="1" t="s">
        <v>19</v>
      </c>
      <c r="D587" s="1" t="s">
        <v>28</v>
      </c>
      <c r="E587" s="1" t="s">
        <v>33</v>
      </c>
      <c r="F587" s="1" t="s">
        <v>22</v>
      </c>
      <c r="G587">
        <v>5171</v>
      </c>
      <c r="H587">
        <v>4</v>
      </c>
      <c r="I587">
        <v>10342</v>
      </c>
      <c r="J587">
        <v>217182</v>
      </c>
      <c r="K587" s="1" t="s">
        <v>59</v>
      </c>
      <c r="L587" s="2">
        <v>0.57847222222222228</v>
      </c>
      <c r="M587" s="1" t="s">
        <v>36</v>
      </c>
      <c r="N587">
        <v>20684</v>
      </c>
      <c r="O587">
        <v>4761904762</v>
      </c>
      <c r="P587">
        <v>10342</v>
      </c>
      <c r="Q587">
        <v>98</v>
      </c>
    </row>
    <row r="588" spans="1:17" x14ac:dyDescent="0.25">
      <c r="A588" s="1" t="s">
        <v>711</v>
      </c>
      <c r="B588" s="1" t="s">
        <v>18</v>
      </c>
      <c r="C588" s="1" t="s">
        <v>19</v>
      </c>
      <c r="D588" s="1" t="s">
        <v>28</v>
      </c>
      <c r="E588" s="1" t="s">
        <v>21</v>
      </c>
      <c r="F588" s="1" t="s">
        <v>53</v>
      </c>
      <c r="G588">
        <v>5234</v>
      </c>
      <c r="H588">
        <v>3</v>
      </c>
      <c r="I588">
        <v>7851</v>
      </c>
      <c r="J588">
        <v>164871</v>
      </c>
      <c r="K588" s="1" t="s">
        <v>132</v>
      </c>
      <c r="L588" s="2">
        <v>0.5854166666666667</v>
      </c>
      <c r="M588" s="1" t="s">
        <v>31</v>
      </c>
      <c r="N588">
        <v>15702</v>
      </c>
      <c r="O588">
        <v>4761904762</v>
      </c>
      <c r="P588">
        <v>7851</v>
      </c>
      <c r="Q588">
        <v>92</v>
      </c>
    </row>
    <row r="589" spans="1:17" x14ac:dyDescent="0.25">
      <c r="A589" s="1" t="s">
        <v>712</v>
      </c>
      <c r="B589" s="1" t="s">
        <v>18</v>
      </c>
      <c r="C589" s="1" t="s">
        <v>19</v>
      </c>
      <c r="D589" s="1" t="s">
        <v>28</v>
      </c>
      <c r="E589" s="1" t="s">
        <v>21</v>
      </c>
      <c r="F589" s="1" t="s">
        <v>40</v>
      </c>
      <c r="G589">
        <v>4306</v>
      </c>
      <c r="H589">
        <v>5</v>
      </c>
      <c r="I589">
        <v>10765</v>
      </c>
      <c r="J589">
        <v>226065</v>
      </c>
      <c r="K589" s="1" t="s">
        <v>470</v>
      </c>
      <c r="L589" s="2">
        <v>0.69305555555555554</v>
      </c>
      <c r="M589" s="1" t="s">
        <v>24</v>
      </c>
      <c r="N589">
        <v>2153</v>
      </c>
      <c r="O589">
        <v>4761904762</v>
      </c>
      <c r="P589">
        <v>10765</v>
      </c>
      <c r="Q589">
        <v>77</v>
      </c>
    </row>
    <row r="590" spans="1:17" x14ac:dyDescent="0.25">
      <c r="A590" s="1" t="s">
        <v>713</v>
      </c>
      <c r="B590" s="1" t="s">
        <v>26</v>
      </c>
      <c r="C590" s="1" t="s">
        <v>27</v>
      </c>
      <c r="D590" s="1" t="s">
        <v>28</v>
      </c>
      <c r="E590" s="1" t="s">
        <v>33</v>
      </c>
      <c r="F590" s="1" t="s">
        <v>56</v>
      </c>
      <c r="G590">
        <v>5961</v>
      </c>
      <c r="H590">
        <v>10</v>
      </c>
      <c r="I590">
        <v>29805</v>
      </c>
      <c r="J590">
        <v>625905</v>
      </c>
      <c r="K590" s="1" t="s">
        <v>389</v>
      </c>
      <c r="L590" s="2">
        <v>0.46319444444444446</v>
      </c>
      <c r="M590" s="1" t="s">
        <v>31</v>
      </c>
      <c r="N590">
        <v>5961</v>
      </c>
      <c r="O590">
        <v>4761904762</v>
      </c>
      <c r="P590">
        <v>29805</v>
      </c>
      <c r="Q590">
        <v>53</v>
      </c>
    </row>
    <row r="591" spans="1:17" x14ac:dyDescent="0.25">
      <c r="A591" s="1" t="s">
        <v>714</v>
      </c>
      <c r="B591" s="1" t="s">
        <v>18</v>
      </c>
      <c r="C591" s="1" t="s">
        <v>19</v>
      </c>
      <c r="D591" s="1" t="s">
        <v>28</v>
      </c>
      <c r="E591" s="1" t="s">
        <v>33</v>
      </c>
      <c r="F591" s="1" t="s">
        <v>22</v>
      </c>
      <c r="G591">
        <v>1462</v>
      </c>
      <c r="H591">
        <v>5</v>
      </c>
      <c r="I591">
        <v>3655</v>
      </c>
      <c r="J591">
        <v>76755</v>
      </c>
      <c r="K591" s="1" t="s">
        <v>111</v>
      </c>
      <c r="L591" s="2">
        <v>0.51597222222222228</v>
      </c>
      <c r="M591" s="1" t="s">
        <v>31</v>
      </c>
      <c r="N591">
        <v>731</v>
      </c>
      <c r="O591">
        <v>4761904762</v>
      </c>
      <c r="P591">
        <v>3655</v>
      </c>
      <c r="Q591">
        <v>44</v>
      </c>
    </row>
    <row r="592" spans="1:17" x14ac:dyDescent="0.25">
      <c r="A592" s="1" t="s">
        <v>715</v>
      </c>
      <c r="B592" s="1" t="s">
        <v>26</v>
      </c>
      <c r="C592" s="1" t="s">
        <v>27</v>
      </c>
      <c r="D592" s="1" t="s">
        <v>20</v>
      </c>
      <c r="E592" s="1" t="s">
        <v>33</v>
      </c>
      <c r="F592" s="1" t="s">
        <v>22</v>
      </c>
      <c r="G592">
        <v>4653</v>
      </c>
      <c r="H592">
        <v>6</v>
      </c>
      <c r="I592">
        <v>13959</v>
      </c>
      <c r="J592">
        <v>293139</v>
      </c>
      <c r="K592" s="1" t="s">
        <v>35</v>
      </c>
      <c r="L592" s="2">
        <v>0.45416666666666666</v>
      </c>
      <c r="M592" s="1" t="s">
        <v>36</v>
      </c>
      <c r="N592">
        <v>27918</v>
      </c>
      <c r="O592">
        <v>4761904762</v>
      </c>
      <c r="P592">
        <v>13959</v>
      </c>
      <c r="Q592">
        <v>43</v>
      </c>
    </row>
    <row r="593" spans="1:17" x14ac:dyDescent="0.25">
      <c r="A593" s="1" t="s">
        <v>716</v>
      </c>
      <c r="B593" s="1" t="s">
        <v>26</v>
      </c>
      <c r="C593" s="1" t="s">
        <v>27</v>
      </c>
      <c r="D593" s="1" t="s">
        <v>20</v>
      </c>
      <c r="E593" s="1" t="s">
        <v>21</v>
      </c>
      <c r="F593" s="1" t="s">
        <v>34</v>
      </c>
      <c r="G593">
        <v>2424</v>
      </c>
      <c r="H593">
        <v>7</v>
      </c>
      <c r="I593">
        <v>8484</v>
      </c>
      <c r="J593">
        <v>178164</v>
      </c>
      <c r="K593" s="1" t="s">
        <v>38</v>
      </c>
      <c r="L593" s="2">
        <v>0.73472222222222228</v>
      </c>
      <c r="M593" s="1" t="s">
        <v>24</v>
      </c>
      <c r="N593">
        <v>16968</v>
      </c>
      <c r="O593">
        <v>4761904762</v>
      </c>
      <c r="P593">
        <v>8484</v>
      </c>
      <c r="Q593">
        <v>94</v>
      </c>
    </row>
    <row r="594" spans="1:17" x14ac:dyDescent="0.25">
      <c r="A594" s="1" t="s">
        <v>717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40</v>
      </c>
      <c r="G594">
        <v>4558</v>
      </c>
      <c r="H594">
        <v>1</v>
      </c>
      <c r="I594">
        <v>2279</v>
      </c>
      <c r="J594">
        <v>47859</v>
      </c>
      <c r="K594" s="1" t="s">
        <v>63</v>
      </c>
      <c r="L594" s="2">
        <v>0.59236111111111112</v>
      </c>
      <c r="M594" s="1" t="s">
        <v>31</v>
      </c>
      <c r="N594">
        <v>4558</v>
      </c>
      <c r="O594">
        <v>4761904762</v>
      </c>
      <c r="P594">
        <v>2279</v>
      </c>
      <c r="Q594">
        <v>98</v>
      </c>
    </row>
    <row r="595" spans="1:17" x14ac:dyDescent="0.25">
      <c r="A595" s="1" t="s">
        <v>718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40</v>
      </c>
      <c r="G595">
        <v>752</v>
      </c>
      <c r="H595">
        <v>3</v>
      </c>
      <c r="I595">
        <v>1128</v>
      </c>
      <c r="J595">
        <v>23688</v>
      </c>
      <c r="K595" s="1" t="s">
        <v>210</v>
      </c>
      <c r="L595" s="2">
        <v>0.49375000000000002</v>
      </c>
      <c r="M595" s="1" t="s">
        <v>24</v>
      </c>
      <c r="N595">
        <v>2256</v>
      </c>
      <c r="O595">
        <v>4761904762</v>
      </c>
      <c r="P595">
        <v>1128</v>
      </c>
      <c r="Q595">
        <v>48</v>
      </c>
    </row>
    <row r="596" spans="1:17" x14ac:dyDescent="0.25">
      <c r="A596" s="1" t="s">
        <v>719</v>
      </c>
      <c r="B596" s="1" t="s">
        <v>51</v>
      </c>
      <c r="C596" s="1" t="s">
        <v>52</v>
      </c>
      <c r="D596" s="1" t="s">
        <v>20</v>
      </c>
      <c r="E596" s="1" t="s">
        <v>33</v>
      </c>
      <c r="F596" s="1" t="s">
        <v>40</v>
      </c>
      <c r="G596">
        <v>968</v>
      </c>
      <c r="H596">
        <v>3</v>
      </c>
      <c r="I596">
        <v>1452</v>
      </c>
      <c r="J596">
        <v>30492</v>
      </c>
      <c r="K596" s="1" t="s">
        <v>79</v>
      </c>
      <c r="L596" s="2">
        <v>0.54513888888888884</v>
      </c>
      <c r="M596" s="1" t="s">
        <v>31</v>
      </c>
      <c r="N596">
        <v>2904</v>
      </c>
      <c r="O596">
        <v>4761904762</v>
      </c>
      <c r="P596">
        <v>1452</v>
      </c>
      <c r="Q596">
        <v>53</v>
      </c>
    </row>
    <row r="597" spans="1:17" x14ac:dyDescent="0.25">
      <c r="A597" s="1" t="s">
        <v>720</v>
      </c>
      <c r="B597" s="1" t="s">
        <v>51</v>
      </c>
      <c r="C597" s="1" t="s">
        <v>52</v>
      </c>
      <c r="D597" s="1" t="s">
        <v>28</v>
      </c>
      <c r="E597" s="1" t="s">
        <v>33</v>
      </c>
      <c r="F597" s="1" t="s">
        <v>22</v>
      </c>
      <c r="G597">
        <v>1482</v>
      </c>
      <c r="H597">
        <v>3</v>
      </c>
      <c r="I597">
        <v>2223</v>
      </c>
      <c r="J597">
        <v>46683</v>
      </c>
      <c r="K597" s="1" t="s">
        <v>197</v>
      </c>
      <c r="L597" s="2">
        <v>0.47916666666666669</v>
      </c>
      <c r="M597" s="1" t="s">
        <v>36</v>
      </c>
      <c r="N597">
        <v>4446</v>
      </c>
      <c r="O597">
        <v>4761904762</v>
      </c>
      <c r="P597">
        <v>2223</v>
      </c>
      <c r="Q597">
        <v>87</v>
      </c>
    </row>
    <row r="598" spans="1:17" x14ac:dyDescent="0.25">
      <c r="A598" s="1" t="s">
        <v>721</v>
      </c>
      <c r="B598" s="1" t="s">
        <v>18</v>
      </c>
      <c r="C598" s="1" t="s">
        <v>19</v>
      </c>
      <c r="D598" s="1" t="s">
        <v>28</v>
      </c>
      <c r="E598" s="1" t="s">
        <v>33</v>
      </c>
      <c r="F598" s="1" t="s">
        <v>53</v>
      </c>
      <c r="G598">
        <v>522</v>
      </c>
      <c r="H598">
        <v>3</v>
      </c>
      <c r="I598">
        <v>783</v>
      </c>
      <c r="J598">
        <v>16443</v>
      </c>
      <c r="K598" s="1" t="s">
        <v>139</v>
      </c>
      <c r="L598" s="2">
        <v>0.5625</v>
      </c>
      <c r="M598" s="1" t="s">
        <v>36</v>
      </c>
      <c r="N598">
        <v>1566</v>
      </c>
      <c r="O598">
        <v>4761904762</v>
      </c>
      <c r="P598">
        <v>783</v>
      </c>
      <c r="Q598">
        <v>95</v>
      </c>
    </row>
    <row r="599" spans="1:17" x14ac:dyDescent="0.25">
      <c r="A599" s="1" t="s">
        <v>722</v>
      </c>
      <c r="B599" s="1" t="s">
        <v>26</v>
      </c>
      <c r="C599" s="1" t="s">
        <v>27</v>
      </c>
      <c r="D599" s="1" t="s">
        <v>28</v>
      </c>
      <c r="E599" s="1" t="s">
        <v>21</v>
      </c>
      <c r="F599" s="1" t="s">
        <v>40</v>
      </c>
      <c r="G599">
        <v>4666</v>
      </c>
      <c r="H599">
        <v>9</v>
      </c>
      <c r="I599">
        <v>20997</v>
      </c>
      <c r="J599">
        <v>440937</v>
      </c>
      <c r="K599" s="1" t="s">
        <v>81</v>
      </c>
      <c r="L599" s="2">
        <v>0.7993055555555556</v>
      </c>
      <c r="M599" s="1" t="s">
        <v>24</v>
      </c>
      <c r="N599">
        <v>41994</v>
      </c>
      <c r="O599">
        <v>4761904762</v>
      </c>
      <c r="P599">
        <v>20997</v>
      </c>
      <c r="Q599">
        <v>53</v>
      </c>
    </row>
    <row r="600" spans="1:17" x14ac:dyDescent="0.25">
      <c r="A600" s="1" t="s">
        <v>723</v>
      </c>
      <c r="B600" s="1" t="s">
        <v>26</v>
      </c>
      <c r="C600" s="1" t="s">
        <v>27</v>
      </c>
      <c r="D600" s="1" t="s">
        <v>28</v>
      </c>
      <c r="E600" s="1" t="s">
        <v>21</v>
      </c>
      <c r="F600" s="1" t="s">
        <v>56</v>
      </c>
      <c r="G600">
        <v>3685</v>
      </c>
      <c r="H600">
        <v>5</v>
      </c>
      <c r="I600">
        <v>92125</v>
      </c>
      <c r="J600">
        <v>1934625</v>
      </c>
      <c r="K600" s="1" t="s">
        <v>171</v>
      </c>
      <c r="L600" s="2">
        <v>0.78680555555555554</v>
      </c>
      <c r="M600" s="1" t="s">
        <v>31</v>
      </c>
      <c r="N600">
        <v>18425</v>
      </c>
      <c r="O600">
        <v>4761904762</v>
      </c>
      <c r="P600">
        <v>92125</v>
      </c>
      <c r="Q600">
        <v>92</v>
      </c>
    </row>
    <row r="601" spans="1:17" x14ac:dyDescent="0.25">
      <c r="A601" s="1" t="s">
        <v>724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34</v>
      </c>
      <c r="G601">
        <v>7032</v>
      </c>
      <c r="H601">
        <v>2</v>
      </c>
      <c r="I601">
        <v>7032</v>
      </c>
      <c r="J601">
        <v>147672</v>
      </c>
      <c r="K601" s="1" t="s">
        <v>207</v>
      </c>
      <c r="L601" s="2">
        <v>0.59861111111111109</v>
      </c>
      <c r="M601" s="1" t="s">
        <v>24</v>
      </c>
      <c r="N601">
        <v>14064</v>
      </c>
      <c r="O601">
        <v>4761904762</v>
      </c>
      <c r="P601">
        <v>7032</v>
      </c>
      <c r="Q601">
        <v>96</v>
      </c>
    </row>
    <row r="602" spans="1:17" x14ac:dyDescent="0.25">
      <c r="A602" s="1" t="s">
        <v>725</v>
      </c>
      <c r="B602" s="1" t="s">
        <v>26</v>
      </c>
      <c r="C602" s="1" t="s">
        <v>27</v>
      </c>
      <c r="D602" s="1" t="s">
        <v>28</v>
      </c>
      <c r="E602" s="1" t="s">
        <v>33</v>
      </c>
      <c r="F602" s="1" t="s">
        <v>29</v>
      </c>
      <c r="G602">
        <v>8308</v>
      </c>
      <c r="H602">
        <v>1</v>
      </c>
      <c r="I602">
        <v>4154</v>
      </c>
      <c r="J602">
        <v>87234</v>
      </c>
      <c r="K602" s="1" t="s">
        <v>173</v>
      </c>
      <c r="L602" s="2">
        <v>0.71944444444444444</v>
      </c>
      <c r="M602" s="1" t="s">
        <v>24</v>
      </c>
      <c r="N602">
        <v>8308</v>
      </c>
      <c r="O602">
        <v>4761904762</v>
      </c>
      <c r="P602">
        <v>4154</v>
      </c>
      <c r="Q602">
        <v>64</v>
      </c>
    </row>
    <row r="603" spans="1:17" x14ac:dyDescent="0.25">
      <c r="A603" s="1" t="s">
        <v>726</v>
      </c>
      <c r="B603" s="1" t="s">
        <v>26</v>
      </c>
      <c r="C603" s="1" t="s">
        <v>27</v>
      </c>
      <c r="D603" s="1" t="s">
        <v>28</v>
      </c>
      <c r="E603" s="1" t="s">
        <v>21</v>
      </c>
      <c r="F603" s="1" t="s">
        <v>56</v>
      </c>
      <c r="G603">
        <v>6499</v>
      </c>
      <c r="H603">
        <v>1</v>
      </c>
      <c r="I603">
        <v>32495</v>
      </c>
      <c r="J603">
        <v>682395</v>
      </c>
      <c r="K603" s="1" t="s">
        <v>171</v>
      </c>
      <c r="L603" s="2">
        <v>0.42083333333333334</v>
      </c>
      <c r="M603" s="1" t="s">
        <v>36</v>
      </c>
      <c r="N603">
        <v>6499</v>
      </c>
      <c r="O603">
        <v>4761904762</v>
      </c>
      <c r="P603">
        <v>32495</v>
      </c>
      <c r="Q603">
        <v>45</v>
      </c>
    </row>
    <row r="604" spans="1:17" x14ac:dyDescent="0.25">
      <c r="A604" s="1" t="s">
        <v>727</v>
      </c>
      <c r="B604" s="1" t="s">
        <v>26</v>
      </c>
      <c r="C604" s="1" t="s">
        <v>27</v>
      </c>
      <c r="D604" s="1" t="s">
        <v>28</v>
      </c>
      <c r="E604" s="1" t="s">
        <v>33</v>
      </c>
      <c r="F604" s="1" t="s">
        <v>53</v>
      </c>
      <c r="G604">
        <v>7756</v>
      </c>
      <c r="H604">
        <v>10</v>
      </c>
      <c r="I604">
        <v>3878</v>
      </c>
      <c r="J604">
        <v>81438</v>
      </c>
      <c r="K604" s="1" t="s">
        <v>389</v>
      </c>
      <c r="L604" s="2">
        <v>0.85763888888888884</v>
      </c>
      <c r="M604" s="1" t="s">
        <v>24</v>
      </c>
      <c r="N604">
        <v>7756</v>
      </c>
      <c r="O604">
        <v>4761904762</v>
      </c>
      <c r="P604">
        <v>3878</v>
      </c>
      <c r="Q604">
        <v>69</v>
      </c>
    </row>
    <row r="605" spans="1:17" x14ac:dyDescent="0.25">
      <c r="A605" s="1" t="s">
        <v>728</v>
      </c>
      <c r="B605" s="1" t="s">
        <v>51</v>
      </c>
      <c r="C605" s="1" t="s">
        <v>52</v>
      </c>
      <c r="D605" s="1" t="s">
        <v>28</v>
      </c>
      <c r="E605" s="1" t="s">
        <v>21</v>
      </c>
      <c r="F605" s="1" t="s">
        <v>40</v>
      </c>
      <c r="G605">
        <v>5451</v>
      </c>
      <c r="H605">
        <v>6</v>
      </c>
      <c r="I605">
        <v>16353</v>
      </c>
      <c r="J605">
        <v>343413</v>
      </c>
      <c r="K605" s="1" t="s">
        <v>373</v>
      </c>
      <c r="L605" s="2">
        <v>0.57916666666666672</v>
      </c>
      <c r="M605" s="1" t="s">
        <v>24</v>
      </c>
      <c r="N605">
        <v>32706</v>
      </c>
      <c r="O605">
        <v>4761904762</v>
      </c>
      <c r="P605">
        <v>16353</v>
      </c>
      <c r="Q605">
        <v>78</v>
      </c>
    </row>
    <row r="606" spans="1:17" x14ac:dyDescent="0.25">
      <c r="A606" s="1" t="s">
        <v>729</v>
      </c>
      <c r="B606" s="1" t="s">
        <v>26</v>
      </c>
      <c r="C606" s="1" t="s">
        <v>27</v>
      </c>
      <c r="D606" s="1" t="s">
        <v>20</v>
      </c>
      <c r="E606" s="1" t="s">
        <v>21</v>
      </c>
      <c r="F606" s="1" t="s">
        <v>56</v>
      </c>
      <c r="G606">
        <v>5189</v>
      </c>
      <c r="H606">
        <v>7</v>
      </c>
      <c r="I606">
        <v>181615</v>
      </c>
      <c r="J606">
        <v>3813915</v>
      </c>
      <c r="K606" s="1" t="s">
        <v>230</v>
      </c>
      <c r="L606" s="2">
        <v>0.83888888888888891</v>
      </c>
      <c r="M606" s="1" t="s">
        <v>31</v>
      </c>
      <c r="N606">
        <v>36323</v>
      </c>
      <c r="O606">
        <v>4761904762</v>
      </c>
      <c r="P606">
        <v>181615</v>
      </c>
      <c r="Q606">
        <v>45</v>
      </c>
    </row>
    <row r="607" spans="1:17" x14ac:dyDescent="0.25">
      <c r="A607" s="1" t="s">
        <v>730</v>
      </c>
      <c r="B607" s="1" t="s">
        <v>51</v>
      </c>
      <c r="C607" s="1" t="s">
        <v>52</v>
      </c>
      <c r="D607" s="1" t="s">
        <v>28</v>
      </c>
      <c r="E607" s="1" t="s">
        <v>33</v>
      </c>
      <c r="F607" s="1" t="s">
        <v>34</v>
      </c>
      <c r="G607">
        <v>3175</v>
      </c>
      <c r="H607">
        <v>4</v>
      </c>
      <c r="I607">
        <v>635</v>
      </c>
      <c r="J607">
        <v>13335</v>
      </c>
      <c r="K607" s="1" t="s">
        <v>41</v>
      </c>
      <c r="L607" s="2">
        <v>0.6430555555555556</v>
      </c>
      <c r="M607" s="1" t="s">
        <v>31</v>
      </c>
      <c r="N607">
        <v>127</v>
      </c>
      <c r="O607">
        <v>4761904762</v>
      </c>
      <c r="P607">
        <v>635</v>
      </c>
      <c r="Q607">
        <v>86</v>
      </c>
    </row>
    <row r="608" spans="1:17" x14ac:dyDescent="0.25">
      <c r="A608" s="1" t="s">
        <v>731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56</v>
      </c>
      <c r="G608">
        <v>5365</v>
      </c>
      <c r="H608">
        <v>7</v>
      </c>
      <c r="I608">
        <v>187775</v>
      </c>
      <c r="J608">
        <v>3943275</v>
      </c>
      <c r="K608" s="1" t="s">
        <v>119</v>
      </c>
      <c r="L608" s="2">
        <v>0.53888888888888886</v>
      </c>
      <c r="M608" s="1" t="s">
        <v>24</v>
      </c>
      <c r="N608">
        <v>37555</v>
      </c>
      <c r="O608">
        <v>4761904762</v>
      </c>
      <c r="P608">
        <v>187775</v>
      </c>
      <c r="Q608">
        <v>52</v>
      </c>
    </row>
    <row r="609" spans="1:17" x14ac:dyDescent="0.25">
      <c r="A609" s="1" t="s">
        <v>732</v>
      </c>
      <c r="B609" s="1" t="s">
        <v>26</v>
      </c>
      <c r="C609" s="1" t="s">
        <v>27</v>
      </c>
      <c r="D609" s="1" t="s">
        <v>20</v>
      </c>
      <c r="E609" s="1" t="s">
        <v>21</v>
      </c>
      <c r="F609" s="1" t="s">
        <v>53</v>
      </c>
      <c r="G609">
        <v>4979</v>
      </c>
      <c r="H609">
        <v>4</v>
      </c>
      <c r="I609">
        <v>9958</v>
      </c>
      <c r="J609">
        <v>209118</v>
      </c>
      <c r="K609" s="1" t="s">
        <v>201</v>
      </c>
      <c r="L609" s="2">
        <v>0.80277777777777781</v>
      </c>
      <c r="M609" s="1" t="s">
        <v>36</v>
      </c>
      <c r="N609">
        <v>19916</v>
      </c>
      <c r="O609">
        <v>4761904762</v>
      </c>
      <c r="P609">
        <v>9958</v>
      </c>
      <c r="Q609">
        <v>64</v>
      </c>
    </row>
    <row r="610" spans="1:17" x14ac:dyDescent="0.25">
      <c r="A610" s="1" t="s">
        <v>733</v>
      </c>
      <c r="B610" s="1" t="s">
        <v>18</v>
      </c>
      <c r="C610" s="1" t="s">
        <v>19</v>
      </c>
      <c r="D610" s="1" t="s">
        <v>28</v>
      </c>
      <c r="E610" s="1" t="s">
        <v>33</v>
      </c>
      <c r="F610" s="1" t="s">
        <v>56</v>
      </c>
      <c r="G610">
        <v>3061</v>
      </c>
      <c r="H610">
        <v>1</v>
      </c>
      <c r="I610">
        <v>15305</v>
      </c>
      <c r="J610">
        <v>321405</v>
      </c>
      <c r="K610" s="1" t="s">
        <v>173</v>
      </c>
      <c r="L610" s="2">
        <v>0.51388888888888884</v>
      </c>
      <c r="M610" s="1" t="s">
        <v>24</v>
      </c>
      <c r="N610">
        <v>3061</v>
      </c>
      <c r="O610">
        <v>4761904762</v>
      </c>
      <c r="P610">
        <v>15305</v>
      </c>
      <c r="Q610">
        <v>52</v>
      </c>
    </row>
    <row r="611" spans="1:17" x14ac:dyDescent="0.25">
      <c r="A611" s="1" t="s">
        <v>734</v>
      </c>
      <c r="B611" s="1" t="s">
        <v>51</v>
      </c>
      <c r="C611" s="1" t="s">
        <v>52</v>
      </c>
      <c r="D611" s="1" t="s">
        <v>20</v>
      </c>
      <c r="E611" s="1" t="s">
        <v>33</v>
      </c>
      <c r="F611" s="1" t="s">
        <v>53</v>
      </c>
      <c r="G611">
        <v>5789</v>
      </c>
      <c r="H611">
        <v>2</v>
      </c>
      <c r="I611">
        <v>5789</v>
      </c>
      <c r="J611">
        <v>121569</v>
      </c>
      <c r="K611" s="1" t="s">
        <v>106</v>
      </c>
      <c r="L611" s="2">
        <v>0.44236111111111109</v>
      </c>
      <c r="M611" s="1" t="s">
        <v>24</v>
      </c>
      <c r="N611">
        <v>11578</v>
      </c>
      <c r="O611">
        <v>4761904762</v>
      </c>
      <c r="P611">
        <v>5789</v>
      </c>
      <c r="Q611">
        <v>89</v>
      </c>
    </row>
    <row r="612" spans="1:17" x14ac:dyDescent="0.25">
      <c r="A612" s="1" t="s">
        <v>735</v>
      </c>
      <c r="B612" s="1" t="s">
        <v>18</v>
      </c>
      <c r="C612" s="1" t="s">
        <v>19</v>
      </c>
      <c r="D612" s="1" t="s">
        <v>28</v>
      </c>
      <c r="E612" s="1" t="s">
        <v>21</v>
      </c>
      <c r="F612" s="1" t="s">
        <v>29</v>
      </c>
      <c r="G612">
        <v>2896</v>
      </c>
      <c r="H612">
        <v>1</v>
      </c>
      <c r="I612">
        <v>1448</v>
      </c>
      <c r="J612">
        <v>30408</v>
      </c>
      <c r="K612" s="1" t="s">
        <v>63</v>
      </c>
      <c r="L612" s="2">
        <v>0.42916666666666664</v>
      </c>
      <c r="M612" s="1" t="s">
        <v>36</v>
      </c>
      <c r="N612">
        <v>2896</v>
      </c>
      <c r="O612">
        <v>4761904762</v>
      </c>
      <c r="P612">
        <v>1448</v>
      </c>
      <c r="Q612">
        <v>62</v>
      </c>
    </row>
    <row r="613" spans="1:17" x14ac:dyDescent="0.25">
      <c r="A613" s="1" t="s">
        <v>736</v>
      </c>
      <c r="B613" s="1" t="s">
        <v>26</v>
      </c>
      <c r="C613" s="1" t="s">
        <v>27</v>
      </c>
      <c r="D613" s="1" t="s">
        <v>20</v>
      </c>
      <c r="E613" s="1" t="s">
        <v>21</v>
      </c>
      <c r="F613" s="1" t="s">
        <v>53</v>
      </c>
      <c r="G613">
        <v>9897</v>
      </c>
      <c r="H613">
        <v>9</v>
      </c>
      <c r="I613">
        <v>445365</v>
      </c>
      <c r="J613">
        <v>9352665</v>
      </c>
      <c r="K613" s="1" t="s">
        <v>59</v>
      </c>
      <c r="L613" s="2">
        <v>0.47430555555555554</v>
      </c>
      <c r="M613" s="1" t="s">
        <v>31</v>
      </c>
      <c r="N613">
        <v>89073</v>
      </c>
      <c r="O613">
        <v>4761904762</v>
      </c>
      <c r="P613">
        <v>445365</v>
      </c>
      <c r="Q613">
        <v>67</v>
      </c>
    </row>
    <row r="614" spans="1:17" x14ac:dyDescent="0.25">
      <c r="A614" s="1" t="s">
        <v>737</v>
      </c>
      <c r="B614" s="1" t="s">
        <v>51</v>
      </c>
      <c r="C614" s="1" t="s">
        <v>52</v>
      </c>
      <c r="D614" s="1" t="s">
        <v>20</v>
      </c>
      <c r="E614" s="1" t="s">
        <v>33</v>
      </c>
      <c r="F614" s="1" t="s">
        <v>56</v>
      </c>
      <c r="G614">
        <v>9322</v>
      </c>
      <c r="H614">
        <v>3</v>
      </c>
      <c r="I614">
        <v>13983</v>
      </c>
      <c r="J614">
        <v>293643</v>
      </c>
      <c r="K614" s="1" t="s">
        <v>151</v>
      </c>
      <c r="L614" s="2">
        <v>0.48958333333333331</v>
      </c>
      <c r="M614" s="1" t="s">
        <v>31</v>
      </c>
      <c r="N614">
        <v>27966</v>
      </c>
      <c r="O614">
        <v>4761904762</v>
      </c>
      <c r="P614">
        <v>13983</v>
      </c>
      <c r="Q614">
        <v>72</v>
      </c>
    </row>
    <row r="615" spans="1:17" x14ac:dyDescent="0.25">
      <c r="A615" s="1" t="s">
        <v>738</v>
      </c>
      <c r="B615" s="1" t="s">
        <v>26</v>
      </c>
      <c r="C615" s="1" t="s">
        <v>27</v>
      </c>
      <c r="D615" s="1" t="s">
        <v>20</v>
      </c>
      <c r="E615" s="1" t="s">
        <v>33</v>
      </c>
      <c r="F615" s="1" t="s">
        <v>40</v>
      </c>
      <c r="G615">
        <v>8093</v>
      </c>
      <c r="H615">
        <v>1</v>
      </c>
      <c r="I615">
        <v>40465</v>
      </c>
      <c r="J615">
        <v>849765</v>
      </c>
      <c r="K615" s="1" t="s">
        <v>214</v>
      </c>
      <c r="L615" s="2">
        <v>0.67222222222222228</v>
      </c>
      <c r="M615" s="1" t="s">
        <v>36</v>
      </c>
      <c r="N615">
        <v>8093</v>
      </c>
      <c r="O615">
        <v>4761904762</v>
      </c>
      <c r="P615">
        <v>40465</v>
      </c>
      <c r="Q615">
        <v>9</v>
      </c>
    </row>
    <row r="616" spans="1:17" x14ac:dyDescent="0.25">
      <c r="A616" s="1" t="s">
        <v>739</v>
      </c>
      <c r="B616" s="1" t="s">
        <v>18</v>
      </c>
      <c r="C616" s="1" t="s">
        <v>19</v>
      </c>
      <c r="D616" s="1" t="s">
        <v>20</v>
      </c>
      <c r="E616" s="1" t="s">
        <v>33</v>
      </c>
      <c r="F616" s="1" t="s">
        <v>53</v>
      </c>
      <c r="G616">
        <v>6745</v>
      </c>
      <c r="H616">
        <v>10</v>
      </c>
      <c r="I616">
        <v>33725</v>
      </c>
      <c r="J616">
        <v>708225</v>
      </c>
      <c r="K616" s="1" t="s">
        <v>123</v>
      </c>
      <c r="L616" s="2">
        <v>0.47569444444444442</v>
      </c>
      <c r="M616" s="1" t="s">
        <v>24</v>
      </c>
      <c r="N616">
        <v>6745</v>
      </c>
      <c r="O616">
        <v>4761904762</v>
      </c>
      <c r="P616">
        <v>33725</v>
      </c>
      <c r="Q616">
        <v>42</v>
      </c>
    </row>
    <row r="617" spans="1:17" x14ac:dyDescent="0.25">
      <c r="A617" s="1" t="s">
        <v>740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40</v>
      </c>
      <c r="G617">
        <v>3872</v>
      </c>
      <c r="H617">
        <v>9</v>
      </c>
      <c r="I617">
        <v>17424</v>
      </c>
      <c r="J617">
        <v>365904</v>
      </c>
      <c r="K617" s="1" t="s">
        <v>329</v>
      </c>
      <c r="L617" s="2">
        <v>0.51666666666666672</v>
      </c>
      <c r="M617" s="1" t="s">
        <v>24</v>
      </c>
      <c r="N617">
        <v>34848</v>
      </c>
      <c r="O617">
        <v>4761904762</v>
      </c>
      <c r="P617">
        <v>17424</v>
      </c>
      <c r="Q617">
        <v>42</v>
      </c>
    </row>
    <row r="618" spans="1:17" x14ac:dyDescent="0.25">
      <c r="A618" s="1" t="s">
        <v>741</v>
      </c>
      <c r="B618" s="1" t="s">
        <v>51</v>
      </c>
      <c r="C618" s="1" t="s">
        <v>52</v>
      </c>
      <c r="D618" s="1" t="s">
        <v>20</v>
      </c>
      <c r="E618" s="1" t="s">
        <v>33</v>
      </c>
      <c r="F618" s="1" t="s">
        <v>40</v>
      </c>
      <c r="G618">
        <v>726</v>
      </c>
      <c r="H618">
        <v>6</v>
      </c>
      <c r="I618">
        <v>2178</v>
      </c>
      <c r="J618">
        <v>45738</v>
      </c>
      <c r="K618" s="1" t="s">
        <v>162</v>
      </c>
      <c r="L618" s="2">
        <v>0.82708333333333328</v>
      </c>
      <c r="M618" s="1" t="s">
        <v>31</v>
      </c>
      <c r="N618">
        <v>4356</v>
      </c>
      <c r="O618">
        <v>4761904762</v>
      </c>
      <c r="P618">
        <v>2178</v>
      </c>
      <c r="Q618">
        <v>69</v>
      </c>
    </row>
    <row r="619" spans="1:17" x14ac:dyDescent="0.25">
      <c r="A619" s="1" t="s">
        <v>742</v>
      </c>
      <c r="B619" s="1" t="s">
        <v>26</v>
      </c>
      <c r="C619" s="1" t="s">
        <v>27</v>
      </c>
      <c r="D619" s="1" t="s">
        <v>20</v>
      </c>
      <c r="E619" s="1" t="s">
        <v>33</v>
      </c>
      <c r="F619" s="1" t="s">
        <v>29</v>
      </c>
      <c r="G619">
        <v>8791</v>
      </c>
      <c r="H619">
        <v>5</v>
      </c>
      <c r="I619">
        <v>219775</v>
      </c>
      <c r="J619">
        <v>4615275</v>
      </c>
      <c r="K619" s="1" t="s">
        <v>389</v>
      </c>
      <c r="L619" s="2">
        <v>0.75694444444444442</v>
      </c>
      <c r="M619" s="1" t="s">
        <v>24</v>
      </c>
      <c r="N619">
        <v>43955</v>
      </c>
      <c r="O619">
        <v>4761904762</v>
      </c>
      <c r="P619">
        <v>219775</v>
      </c>
      <c r="Q619">
        <v>44</v>
      </c>
    </row>
    <row r="620" spans="1:17" x14ac:dyDescent="0.25">
      <c r="A620" s="1" t="s">
        <v>743</v>
      </c>
      <c r="B620" s="1" t="s">
        <v>18</v>
      </c>
      <c r="C620" s="1" t="s">
        <v>19</v>
      </c>
      <c r="D620" s="1" t="s">
        <v>20</v>
      </c>
      <c r="E620" s="1" t="s">
        <v>33</v>
      </c>
      <c r="F620" s="1" t="s">
        <v>53</v>
      </c>
      <c r="G620">
        <v>9853</v>
      </c>
      <c r="H620">
        <v>6</v>
      </c>
      <c r="I620">
        <v>29559</v>
      </c>
      <c r="J620">
        <v>620739</v>
      </c>
      <c r="K620" s="1" t="s">
        <v>173</v>
      </c>
      <c r="L620" s="2">
        <v>0.47361111111111109</v>
      </c>
      <c r="M620" s="1" t="s">
        <v>36</v>
      </c>
      <c r="N620">
        <v>59118</v>
      </c>
      <c r="O620">
        <v>4761904762</v>
      </c>
      <c r="P620">
        <v>29559</v>
      </c>
      <c r="Q620">
        <v>4</v>
      </c>
    </row>
    <row r="621" spans="1:17" x14ac:dyDescent="0.25">
      <c r="A621" s="1" t="s">
        <v>744</v>
      </c>
      <c r="B621" s="1" t="s">
        <v>26</v>
      </c>
      <c r="C621" s="1" t="s">
        <v>27</v>
      </c>
      <c r="D621" s="1" t="s">
        <v>20</v>
      </c>
      <c r="E621" s="1" t="s">
        <v>21</v>
      </c>
      <c r="F621" s="1" t="s">
        <v>56</v>
      </c>
      <c r="G621">
        <v>4346</v>
      </c>
      <c r="H621">
        <v>6</v>
      </c>
      <c r="I621">
        <v>13038</v>
      </c>
      <c r="J621">
        <v>273798</v>
      </c>
      <c r="K621" s="1" t="s">
        <v>63</v>
      </c>
      <c r="L621" s="2">
        <v>0.74652777777777779</v>
      </c>
      <c r="M621" s="1" t="s">
        <v>24</v>
      </c>
      <c r="N621">
        <v>26076</v>
      </c>
      <c r="O621">
        <v>4761904762</v>
      </c>
      <c r="P621">
        <v>13038</v>
      </c>
      <c r="Q621">
        <v>85</v>
      </c>
    </row>
    <row r="622" spans="1:17" x14ac:dyDescent="0.25">
      <c r="A622" s="1" t="s">
        <v>745</v>
      </c>
      <c r="B622" s="1" t="s">
        <v>18</v>
      </c>
      <c r="C622" s="1" t="s">
        <v>19</v>
      </c>
      <c r="D622" s="1" t="s">
        <v>28</v>
      </c>
      <c r="E622" s="1" t="s">
        <v>21</v>
      </c>
      <c r="F622" s="1" t="s">
        <v>53</v>
      </c>
      <c r="G622">
        <v>7168</v>
      </c>
      <c r="H622">
        <v>3</v>
      </c>
      <c r="I622">
        <v>10752</v>
      </c>
      <c r="J622">
        <v>225792</v>
      </c>
      <c r="K622" s="1" t="s">
        <v>201</v>
      </c>
      <c r="L622" s="2">
        <v>0.64583333333333337</v>
      </c>
      <c r="M622" s="1" t="s">
        <v>36</v>
      </c>
      <c r="N622">
        <v>21504</v>
      </c>
      <c r="O622">
        <v>4761904762</v>
      </c>
      <c r="P622">
        <v>10752</v>
      </c>
      <c r="Q622">
        <v>92</v>
      </c>
    </row>
    <row r="623" spans="1:17" x14ac:dyDescent="0.25">
      <c r="A623" s="1" t="s">
        <v>746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53</v>
      </c>
      <c r="G623">
        <v>9161</v>
      </c>
      <c r="H623">
        <v>1</v>
      </c>
      <c r="I623">
        <v>45805</v>
      </c>
      <c r="J623">
        <v>961905</v>
      </c>
      <c r="K623" s="1" t="s">
        <v>329</v>
      </c>
      <c r="L623" s="2">
        <v>0.82222222222222219</v>
      </c>
      <c r="M623" s="1" t="s">
        <v>31</v>
      </c>
      <c r="N623">
        <v>9161</v>
      </c>
      <c r="O623">
        <v>4761904762</v>
      </c>
      <c r="P623">
        <v>45805</v>
      </c>
      <c r="Q623">
        <v>98</v>
      </c>
    </row>
    <row r="624" spans="1:17" x14ac:dyDescent="0.25">
      <c r="A624" s="1" t="s">
        <v>747</v>
      </c>
      <c r="B624" s="1" t="s">
        <v>51</v>
      </c>
      <c r="C624" s="1" t="s">
        <v>52</v>
      </c>
      <c r="D624" s="1" t="s">
        <v>20</v>
      </c>
      <c r="E624" s="1" t="s">
        <v>21</v>
      </c>
      <c r="F624" s="1" t="s">
        <v>34</v>
      </c>
      <c r="G624">
        <v>9459</v>
      </c>
      <c r="H624">
        <v>7</v>
      </c>
      <c r="I624">
        <v>331065</v>
      </c>
      <c r="J624">
        <v>6952365</v>
      </c>
      <c r="K624" s="1" t="s">
        <v>106</v>
      </c>
      <c r="L624" s="2">
        <v>0.64375000000000004</v>
      </c>
      <c r="M624" s="1" t="s">
        <v>36</v>
      </c>
      <c r="N624">
        <v>66213</v>
      </c>
      <c r="O624">
        <v>4761904762</v>
      </c>
      <c r="P624">
        <v>331065</v>
      </c>
      <c r="Q624">
        <v>49</v>
      </c>
    </row>
    <row r="625" spans="1:17" x14ac:dyDescent="0.25">
      <c r="A625" s="1" t="s">
        <v>748</v>
      </c>
      <c r="B625" s="1" t="s">
        <v>51</v>
      </c>
      <c r="C625" s="1" t="s">
        <v>52</v>
      </c>
      <c r="D625" s="1" t="s">
        <v>28</v>
      </c>
      <c r="E625" s="1" t="s">
        <v>21</v>
      </c>
      <c r="F625" s="1" t="s">
        <v>56</v>
      </c>
      <c r="G625">
        <v>8325</v>
      </c>
      <c r="H625">
        <v>10</v>
      </c>
      <c r="I625">
        <v>41625</v>
      </c>
      <c r="J625">
        <v>874125</v>
      </c>
      <c r="K625" s="1" t="s">
        <v>166</v>
      </c>
      <c r="L625" s="2">
        <v>0.47569444444444442</v>
      </c>
      <c r="M625" s="1" t="s">
        <v>36</v>
      </c>
      <c r="N625">
        <v>8325</v>
      </c>
      <c r="O625">
        <v>4761904762</v>
      </c>
      <c r="P625">
        <v>41625</v>
      </c>
      <c r="Q625">
        <v>44</v>
      </c>
    </row>
    <row r="626" spans="1:17" x14ac:dyDescent="0.25">
      <c r="A626" s="1" t="s">
        <v>749</v>
      </c>
      <c r="B626" s="1" t="s">
        <v>51</v>
      </c>
      <c r="C626" s="1" t="s">
        <v>52</v>
      </c>
      <c r="D626" s="1" t="s">
        <v>20</v>
      </c>
      <c r="E626" s="1" t="s">
        <v>33</v>
      </c>
      <c r="F626" s="1" t="s">
        <v>56</v>
      </c>
      <c r="G626">
        <v>9135</v>
      </c>
      <c r="H626">
        <v>1</v>
      </c>
      <c r="I626">
        <v>45675</v>
      </c>
      <c r="J626">
        <v>959175</v>
      </c>
      <c r="K626" s="1" t="s">
        <v>244</v>
      </c>
      <c r="L626" s="2">
        <v>0.65416666666666667</v>
      </c>
      <c r="M626" s="1" t="s">
        <v>31</v>
      </c>
      <c r="N626">
        <v>9135</v>
      </c>
      <c r="O626">
        <v>4761904762</v>
      </c>
      <c r="P626">
        <v>45675</v>
      </c>
      <c r="Q626">
        <v>68</v>
      </c>
    </row>
    <row r="627" spans="1:17" x14ac:dyDescent="0.25">
      <c r="A627" s="1" t="s">
        <v>750</v>
      </c>
      <c r="B627" s="1" t="s">
        <v>51</v>
      </c>
      <c r="C627" s="1" t="s">
        <v>52</v>
      </c>
      <c r="D627" s="1" t="s">
        <v>20</v>
      </c>
      <c r="E627" s="1" t="s">
        <v>21</v>
      </c>
      <c r="F627" s="1" t="s">
        <v>53</v>
      </c>
      <c r="G627">
        <v>7888</v>
      </c>
      <c r="H627">
        <v>2</v>
      </c>
      <c r="I627">
        <v>7888</v>
      </c>
      <c r="J627">
        <v>165648</v>
      </c>
      <c r="K627" s="1" t="s">
        <v>171</v>
      </c>
      <c r="L627" s="2">
        <v>0.6694444444444444</v>
      </c>
      <c r="M627" s="1" t="s">
        <v>31</v>
      </c>
      <c r="N627">
        <v>15776</v>
      </c>
      <c r="O627">
        <v>4761904762</v>
      </c>
      <c r="P627">
        <v>7888</v>
      </c>
      <c r="Q627">
        <v>91</v>
      </c>
    </row>
    <row r="628" spans="1:17" x14ac:dyDescent="0.25">
      <c r="A628" s="1" t="s">
        <v>751</v>
      </c>
      <c r="B628" s="1" t="s">
        <v>18</v>
      </c>
      <c r="C628" s="1" t="s">
        <v>19</v>
      </c>
      <c r="D628" s="1" t="s">
        <v>28</v>
      </c>
      <c r="E628" s="1" t="s">
        <v>33</v>
      </c>
      <c r="F628" s="1" t="s">
        <v>40</v>
      </c>
      <c r="G628">
        <v>6087</v>
      </c>
      <c r="H628">
        <v>2</v>
      </c>
      <c r="I628">
        <v>6087</v>
      </c>
      <c r="J628">
        <v>127827</v>
      </c>
      <c r="K628" s="1" t="s">
        <v>59</v>
      </c>
      <c r="L628" s="2">
        <v>0.52569444444444446</v>
      </c>
      <c r="M628" s="1" t="s">
        <v>24</v>
      </c>
      <c r="N628">
        <v>12174</v>
      </c>
      <c r="O628">
        <v>4761904762</v>
      </c>
      <c r="P628">
        <v>6087</v>
      </c>
      <c r="Q628">
        <v>87</v>
      </c>
    </row>
    <row r="629" spans="1:17" x14ac:dyDescent="0.25">
      <c r="A629" s="1" t="s">
        <v>752</v>
      </c>
      <c r="B629" s="1" t="s">
        <v>51</v>
      </c>
      <c r="C629" s="1" t="s">
        <v>52</v>
      </c>
      <c r="D629" s="1" t="s">
        <v>20</v>
      </c>
      <c r="E629" s="1" t="s">
        <v>33</v>
      </c>
      <c r="F629" s="1" t="s">
        <v>22</v>
      </c>
      <c r="G629">
        <v>8258</v>
      </c>
      <c r="H629">
        <v>10</v>
      </c>
      <c r="I629">
        <v>4129</v>
      </c>
      <c r="J629">
        <v>86709</v>
      </c>
      <c r="K629" s="1" t="s">
        <v>389</v>
      </c>
      <c r="L629" s="2">
        <v>0.6118055555555556</v>
      </c>
      <c r="M629" s="1" t="s">
        <v>31</v>
      </c>
      <c r="N629">
        <v>8258</v>
      </c>
      <c r="O629">
        <v>4761904762</v>
      </c>
      <c r="P629">
        <v>4129</v>
      </c>
      <c r="Q629">
        <v>5</v>
      </c>
    </row>
    <row r="630" spans="1:17" x14ac:dyDescent="0.25">
      <c r="A630" s="1" t="s">
        <v>753</v>
      </c>
      <c r="B630" s="1" t="s">
        <v>18</v>
      </c>
      <c r="C630" s="1" t="s">
        <v>19</v>
      </c>
      <c r="D630" s="1" t="s">
        <v>20</v>
      </c>
      <c r="E630" s="1" t="s">
        <v>33</v>
      </c>
      <c r="F630" s="1" t="s">
        <v>34</v>
      </c>
      <c r="G630">
        <v>533</v>
      </c>
      <c r="H630">
        <v>3</v>
      </c>
      <c r="I630">
        <v>7995</v>
      </c>
      <c r="J630">
        <v>167895</v>
      </c>
      <c r="K630" s="1" t="s">
        <v>90</v>
      </c>
      <c r="L630" s="2">
        <v>0.59652777777777777</v>
      </c>
      <c r="M630" s="1" t="s">
        <v>24</v>
      </c>
      <c r="N630">
        <v>1599</v>
      </c>
      <c r="O630">
        <v>4761904762</v>
      </c>
      <c r="P630">
        <v>7995</v>
      </c>
      <c r="Q630">
        <v>75</v>
      </c>
    </row>
    <row r="631" spans="1:17" x14ac:dyDescent="0.25">
      <c r="A631" s="1" t="s">
        <v>754</v>
      </c>
      <c r="B631" s="1" t="s">
        <v>18</v>
      </c>
      <c r="C631" s="1" t="s">
        <v>19</v>
      </c>
      <c r="D631" s="1" t="s">
        <v>28</v>
      </c>
      <c r="E631" s="1" t="s">
        <v>21</v>
      </c>
      <c r="F631" s="1" t="s">
        <v>56</v>
      </c>
      <c r="G631">
        <v>1209</v>
      </c>
      <c r="H631">
        <v>1</v>
      </c>
      <c r="I631">
        <v>6045</v>
      </c>
      <c r="J631">
        <v>126945</v>
      </c>
      <c r="K631" s="1" t="s">
        <v>171</v>
      </c>
      <c r="L631" s="2">
        <v>0.7631944444444444</v>
      </c>
      <c r="M631" s="1" t="s">
        <v>36</v>
      </c>
      <c r="N631">
        <v>1209</v>
      </c>
      <c r="O631">
        <v>4761904762</v>
      </c>
      <c r="P631">
        <v>6045</v>
      </c>
      <c r="Q631">
        <v>82</v>
      </c>
    </row>
    <row r="632" spans="1:17" x14ac:dyDescent="0.25">
      <c r="A632" s="1" t="s">
        <v>755</v>
      </c>
      <c r="B632" s="1" t="s">
        <v>18</v>
      </c>
      <c r="C632" s="1" t="s">
        <v>19</v>
      </c>
      <c r="D632" s="1" t="s">
        <v>28</v>
      </c>
      <c r="E632" s="1" t="s">
        <v>33</v>
      </c>
      <c r="F632" s="1" t="s">
        <v>40</v>
      </c>
      <c r="G632">
        <v>6419</v>
      </c>
      <c r="H632">
        <v>10</v>
      </c>
      <c r="I632">
        <v>32095</v>
      </c>
      <c r="J632">
        <v>673995</v>
      </c>
      <c r="K632" s="1" t="s">
        <v>214</v>
      </c>
      <c r="L632" s="2">
        <v>0.58888888888888891</v>
      </c>
      <c r="M632" s="1" t="s">
        <v>36</v>
      </c>
      <c r="N632">
        <v>6419</v>
      </c>
      <c r="O632">
        <v>4761904762</v>
      </c>
      <c r="P632">
        <v>32095</v>
      </c>
      <c r="Q632">
        <v>67</v>
      </c>
    </row>
    <row r="633" spans="1:17" x14ac:dyDescent="0.25">
      <c r="A633" s="1" t="s">
        <v>756</v>
      </c>
      <c r="B633" s="1" t="s">
        <v>18</v>
      </c>
      <c r="C633" s="1" t="s">
        <v>19</v>
      </c>
      <c r="D633" s="1" t="s">
        <v>28</v>
      </c>
      <c r="E633" s="1" t="s">
        <v>33</v>
      </c>
      <c r="F633" s="1" t="s">
        <v>29</v>
      </c>
      <c r="G633">
        <v>7831</v>
      </c>
      <c r="H633">
        <v>3</v>
      </c>
      <c r="I633">
        <v>117465</v>
      </c>
      <c r="J633">
        <v>2466765</v>
      </c>
      <c r="K633" s="1" t="s">
        <v>77</v>
      </c>
      <c r="L633" s="2">
        <v>0.69305555555555554</v>
      </c>
      <c r="M633" s="1" t="s">
        <v>24</v>
      </c>
      <c r="N633">
        <v>23493</v>
      </c>
      <c r="O633">
        <v>4761904762</v>
      </c>
      <c r="P633">
        <v>117465</v>
      </c>
      <c r="Q633">
        <v>54</v>
      </c>
    </row>
    <row r="634" spans="1:17" x14ac:dyDescent="0.25">
      <c r="A634" s="1" t="s">
        <v>757</v>
      </c>
      <c r="B634" s="1" t="s">
        <v>18</v>
      </c>
      <c r="C634" s="1" t="s">
        <v>19</v>
      </c>
      <c r="D634" s="1" t="s">
        <v>20</v>
      </c>
      <c r="E634" s="1" t="s">
        <v>33</v>
      </c>
      <c r="F634" s="1" t="s">
        <v>53</v>
      </c>
      <c r="G634">
        <v>8377</v>
      </c>
      <c r="H634">
        <v>2</v>
      </c>
      <c r="I634">
        <v>8377</v>
      </c>
      <c r="J634">
        <v>175917</v>
      </c>
      <c r="K634" s="1" t="s">
        <v>67</v>
      </c>
      <c r="L634" s="2">
        <v>0.45416666666666666</v>
      </c>
      <c r="M634" s="1" t="s">
        <v>36</v>
      </c>
      <c r="N634">
        <v>16754</v>
      </c>
      <c r="O634">
        <v>4761904762</v>
      </c>
      <c r="P634">
        <v>8377</v>
      </c>
      <c r="Q634">
        <v>7</v>
      </c>
    </row>
    <row r="635" spans="1:17" x14ac:dyDescent="0.25">
      <c r="A635" s="1" t="s">
        <v>758</v>
      </c>
      <c r="B635" s="1" t="s">
        <v>51</v>
      </c>
      <c r="C635" s="1" t="s">
        <v>52</v>
      </c>
      <c r="D635" s="1" t="s">
        <v>28</v>
      </c>
      <c r="E635" s="1" t="s">
        <v>33</v>
      </c>
      <c r="F635" s="1" t="s">
        <v>34</v>
      </c>
      <c r="G635">
        <v>997</v>
      </c>
      <c r="H635">
        <v>3</v>
      </c>
      <c r="I635">
        <v>14955</v>
      </c>
      <c r="J635">
        <v>314055</v>
      </c>
      <c r="K635" s="1" t="s">
        <v>323</v>
      </c>
      <c r="L635" s="2">
        <v>0.47847222222222224</v>
      </c>
      <c r="M635" s="1" t="s">
        <v>24</v>
      </c>
      <c r="N635">
        <v>2991</v>
      </c>
      <c r="O635">
        <v>4761904762</v>
      </c>
      <c r="P635">
        <v>14955</v>
      </c>
      <c r="Q635">
        <v>47</v>
      </c>
    </row>
    <row r="636" spans="1:17" x14ac:dyDescent="0.25">
      <c r="A636" s="1" t="s">
        <v>759</v>
      </c>
      <c r="B636" s="1" t="s">
        <v>51</v>
      </c>
      <c r="C636" s="1" t="s">
        <v>52</v>
      </c>
      <c r="D636" s="1" t="s">
        <v>20</v>
      </c>
      <c r="E636" s="1" t="s">
        <v>33</v>
      </c>
      <c r="F636" s="1" t="s">
        <v>53</v>
      </c>
      <c r="G636">
        <v>7991</v>
      </c>
      <c r="H636">
        <v>3</v>
      </c>
      <c r="I636">
        <v>119865</v>
      </c>
      <c r="J636">
        <v>2517165</v>
      </c>
      <c r="K636" s="1" t="s">
        <v>329</v>
      </c>
      <c r="L636" s="2">
        <v>0.81111111111111112</v>
      </c>
      <c r="M636" s="1" t="s">
        <v>36</v>
      </c>
      <c r="N636">
        <v>23973</v>
      </c>
      <c r="O636">
        <v>4761904762</v>
      </c>
      <c r="P636">
        <v>119865</v>
      </c>
      <c r="Q636">
        <v>5</v>
      </c>
    </row>
    <row r="637" spans="1:17" x14ac:dyDescent="0.25">
      <c r="A637" s="1" t="s">
        <v>760</v>
      </c>
      <c r="B637" s="1" t="s">
        <v>51</v>
      </c>
      <c r="C637" s="1" t="s">
        <v>52</v>
      </c>
      <c r="D637" s="1" t="s">
        <v>20</v>
      </c>
      <c r="E637" s="1" t="s">
        <v>33</v>
      </c>
      <c r="F637" s="1" t="s">
        <v>22</v>
      </c>
      <c r="G637">
        <v>6647</v>
      </c>
      <c r="H637">
        <v>10</v>
      </c>
      <c r="I637">
        <v>33235</v>
      </c>
      <c r="J637">
        <v>697935</v>
      </c>
      <c r="K637" s="1" t="s">
        <v>67</v>
      </c>
      <c r="L637" s="2">
        <v>0.62569444444444444</v>
      </c>
      <c r="M637" s="1" t="s">
        <v>36</v>
      </c>
      <c r="N637">
        <v>6647</v>
      </c>
      <c r="O637">
        <v>4761904762</v>
      </c>
      <c r="P637">
        <v>33235</v>
      </c>
      <c r="Q637">
        <v>5</v>
      </c>
    </row>
    <row r="638" spans="1:17" x14ac:dyDescent="0.25">
      <c r="A638" s="1" t="s">
        <v>761</v>
      </c>
      <c r="B638" s="1" t="s">
        <v>18</v>
      </c>
      <c r="C638" s="1" t="s">
        <v>19</v>
      </c>
      <c r="D638" s="1" t="s">
        <v>28</v>
      </c>
      <c r="E638" s="1" t="s">
        <v>33</v>
      </c>
      <c r="F638" s="1" t="s">
        <v>22</v>
      </c>
      <c r="G638">
        <v>2895</v>
      </c>
      <c r="H638">
        <v>7</v>
      </c>
      <c r="I638">
        <v>101325</v>
      </c>
      <c r="J638">
        <v>2127825</v>
      </c>
      <c r="K638" s="1" t="s">
        <v>35</v>
      </c>
      <c r="L638" s="2">
        <v>0.85486111111111107</v>
      </c>
      <c r="M638" s="1" t="s">
        <v>36</v>
      </c>
      <c r="N638">
        <v>20265</v>
      </c>
      <c r="O638">
        <v>4761904762</v>
      </c>
      <c r="P638">
        <v>101325</v>
      </c>
      <c r="Q638">
        <v>6</v>
      </c>
    </row>
    <row r="639" spans="1:17" x14ac:dyDescent="0.25">
      <c r="A639" s="1" t="s">
        <v>762</v>
      </c>
      <c r="B639" s="1" t="s">
        <v>26</v>
      </c>
      <c r="C639" s="1" t="s">
        <v>27</v>
      </c>
      <c r="D639" s="1" t="s">
        <v>28</v>
      </c>
      <c r="E639" s="1" t="s">
        <v>21</v>
      </c>
      <c r="F639" s="1" t="s">
        <v>29</v>
      </c>
      <c r="G639">
        <v>462</v>
      </c>
      <c r="H639">
        <v>1</v>
      </c>
      <c r="I639">
        <v>231</v>
      </c>
      <c r="J639">
        <v>4851</v>
      </c>
      <c r="K639" s="1" t="s">
        <v>121</v>
      </c>
      <c r="L639" s="2">
        <v>0.51111111111111107</v>
      </c>
      <c r="M639" s="1" t="s">
        <v>31</v>
      </c>
      <c r="N639">
        <v>462</v>
      </c>
      <c r="O639">
        <v>4761904762</v>
      </c>
      <c r="P639">
        <v>231</v>
      </c>
      <c r="Q639">
        <v>63</v>
      </c>
    </row>
    <row r="640" spans="1:17" x14ac:dyDescent="0.25">
      <c r="A640" s="1" t="s">
        <v>763</v>
      </c>
      <c r="B640" s="1" t="s">
        <v>51</v>
      </c>
      <c r="C640" s="1" t="s">
        <v>52</v>
      </c>
      <c r="D640" s="1" t="s">
        <v>20</v>
      </c>
      <c r="E640" s="1" t="s">
        <v>21</v>
      </c>
      <c r="F640" s="1" t="s">
        <v>53</v>
      </c>
      <c r="G640">
        <v>1763</v>
      </c>
      <c r="H640">
        <v>5</v>
      </c>
      <c r="I640">
        <v>44075</v>
      </c>
      <c r="J640">
        <v>925575</v>
      </c>
      <c r="K640" s="1" t="s">
        <v>30</v>
      </c>
      <c r="L640" s="2">
        <v>0.64375000000000004</v>
      </c>
      <c r="M640" s="1" t="s">
        <v>31</v>
      </c>
      <c r="N640">
        <v>8815</v>
      </c>
      <c r="O640">
        <v>4761904762</v>
      </c>
      <c r="P640">
        <v>44075</v>
      </c>
      <c r="Q640">
        <v>85</v>
      </c>
    </row>
    <row r="641" spans="1:17" x14ac:dyDescent="0.25">
      <c r="A641" s="1" t="s">
        <v>764</v>
      </c>
      <c r="B641" s="1" t="s">
        <v>51</v>
      </c>
      <c r="C641" s="1" t="s">
        <v>52</v>
      </c>
      <c r="D641" s="1" t="s">
        <v>28</v>
      </c>
      <c r="E641" s="1" t="s">
        <v>33</v>
      </c>
      <c r="F641" s="1" t="s">
        <v>56</v>
      </c>
      <c r="G641">
        <v>5242</v>
      </c>
      <c r="H641">
        <v>3</v>
      </c>
      <c r="I641">
        <v>7863</v>
      </c>
      <c r="J641">
        <v>165123</v>
      </c>
      <c r="K641" s="1" t="s">
        <v>116</v>
      </c>
      <c r="L641" s="2">
        <v>0.73333333333333328</v>
      </c>
      <c r="M641" s="1" t="s">
        <v>24</v>
      </c>
      <c r="N641">
        <v>15726</v>
      </c>
      <c r="O641">
        <v>4761904762</v>
      </c>
      <c r="P641">
        <v>7863</v>
      </c>
      <c r="Q641">
        <v>75</v>
      </c>
    </row>
    <row r="642" spans="1:17" x14ac:dyDescent="0.25">
      <c r="A642" s="1" t="s">
        <v>765</v>
      </c>
      <c r="B642" s="1" t="s">
        <v>51</v>
      </c>
      <c r="C642" s="1" t="s">
        <v>52</v>
      </c>
      <c r="D642" s="1" t="s">
        <v>20</v>
      </c>
      <c r="E642" s="1" t="s">
        <v>21</v>
      </c>
      <c r="F642" s="1" t="s">
        <v>53</v>
      </c>
      <c r="G642">
        <v>9879</v>
      </c>
      <c r="H642">
        <v>3</v>
      </c>
      <c r="I642">
        <v>148185</v>
      </c>
      <c r="J642">
        <v>3111885</v>
      </c>
      <c r="K642" s="1" t="s">
        <v>175</v>
      </c>
      <c r="L642" s="2">
        <v>0.83333333333333337</v>
      </c>
      <c r="M642" s="1" t="s">
        <v>24</v>
      </c>
      <c r="N642">
        <v>29637</v>
      </c>
      <c r="O642">
        <v>4761904762</v>
      </c>
      <c r="P642">
        <v>148185</v>
      </c>
      <c r="Q642">
        <v>64</v>
      </c>
    </row>
    <row r="643" spans="1:17" x14ac:dyDescent="0.25">
      <c r="A643" s="1" t="s">
        <v>766</v>
      </c>
      <c r="B643" s="1" t="s">
        <v>26</v>
      </c>
      <c r="C643" s="1" t="s">
        <v>27</v>
      </c>
      <c r="D643" s="1" t="s">
        <v>20</v>
      </c>
      <c r="E643" s="1" t="s">
        <v>21</v>
      </c>
      <c r="F643" s="1" t="s">
        <v>29</v>
      </c>
      <c r="G643">
        <v>8855</v>
      </c>
      <c r="H643">
        <v>8</v>
      </c>
      <c r="I643">
        <v>3542</v>
      </c>
      <c r="J643">
        <v>74382</v>
      </c>
      <c r="K643" s="1" t="s">
        <v>121</v>
      </c>
      <c r="L643" s="2">
        <v>0.64513888888888893</v>
      </c>
      <c r="M643" s="1" t="s">
        <v>24</v>
      </c>
      <c r="N643">
        <v>7084</v>
      </c>
      <c r="O643">
        <v>4761904762</v>
      </c>
      <c r="P643">
        <v>3542</v>
      </c>
      <c r="Q643">
        <v>47</v>
      </c>
    </row>
    <row r="644" spans="1:17" x14ac:dyDescent="0.25">
      <c r="A644" s="1" t="s">
        <v>767</v>
      </c>
      <c r="B644" s="1" t="s">
        <v>51</v>
      </c>
      <c r="C644" s="1" t="s">
        <v>52</v>
      </c>
      <c r="D644" s="1" t="s">
        <v>20</v>
      </c>
      <c r="E644" s="1" t="s">
        <v>33</v>
      </c>
      <c r="F644" s="1" t="s">
        <v>29</v>
      </c>
      <c r="G644">
        <v>5567</v>
      </c>
      <c r="H644">
        <v>2</v>
      </c>
      <c r="I644">
        <v>5567</v>
      </c>
      <c r="J644">
        <v>116907</v>
      </c>
      <c r="K644" s="1" t="s">
        <v>132</v>
      </c>
      <c r="L644" s="2">
        <v>0.63055555555555554</v>
      </c>
      <c r="M644" s="1" t="s">
        <v>24</v>
      </c>
      <c r="N644">
        <v>11134</v>
      </c>
      <c r="O644">
        <v>4761904762</v>
      </c>
      <c r="P644">
        <v>5567</v>
      </c>
      <c r="Q644">
        <v>6</v>
      </c>
    </row>
    <row r="645" spans="1:17" x14ac:dyDescent="0.25">
      <c r="A645" s="1" t="s">
        <v>768</v>
      </c>
      <c r="B645" s="1" t="s">
        <v>26</v>
      </c>
      <c r="C645" s="1" t="s">
        <v>27</v>
      </c>
      <c r="D645" s="1" t="s">
        <v>20</v>
      </c>
      <c r="E645" s="1" t="s">
        <v>21</v>
      </c>
      <c r="F645" s="1" t="s">
        <v>53</v>
      </c>
      <c r="G645">
        <v>7252</v>
      </c>
      <c r="H645">
        <v>8</v>
      </c>
      <c r="I645">
        <v>29008</v>
      </c>
      <c r="J645">
        <v>609168</v>
      </c>
      <c r="K645" s="1" t="s">
        <v>268</v>
      </c>
      <c r="L645" s="2">
        <v>0.80972222222222223</v>
      </c>
      <c r="M645" s="1" t="s">
        <v>36</v>
      </c>
      <c r="N645">
        <v>58016</v>
      </c>
      <c r="O645">
        <v>4761904762</v>
      </c>
      <c r="P645">
        <v>29008</v>
      </c>
      <c r="Q645">
        <v>4</v>
      </c>
    </row>
    <row r="646" spans="1:17" x14ac:dyDescent="0.25">
      <c r="A646" s="1" t="s">
        <v>769</v>
      </c>
      <c r="B646" s="1" t="s">
        <v>26</v>
      </c>
      <c r="C646" s="1" t="s">
        <v>27</v>
      </c>
      <c r="D646" s="1" t="s">
        <v>20</v>
      </c>
      <c r="E646" s="1" t="s">
        <v>33</v>
      </c>
      <c r="F646" s="1" t="s">
        <v>29</v>
      </c>
      <c r="G646">
        <v>1205</v>
      </c>
      <c r="H646">
        <v>5</v>
      </c>
      <c r="I646">
        <v>30125</v>
      </c>
      <c r="J646">
        <v>632625</v>
      </c>
      <c r="K646" s="1" t="s">
        <v>244</v>
      </c>
      <c r="L646" s="2">
        <v>0.66180555555555554</v>
      </c>
      <c r="M646" s="1" t="s">
        <v>24</v>
      </c>
      <c r="N646">
        <v>6025</v>
      </c>
      <c r="O646">
        <v>4761904762</v>
      </c>
      <c r="P646">
        <v>30125</v>
      </c>
      <c r="Q646">
        <v>55</v>
      </c>
    </row>
    <row r="647" spans="1:17" x14ac:dyDescent="0.25">
      <c r="A647" s="1" t="s">
        <v>770</v>
      </c>
      <c r="B647" s="1" t="s">
        <v>18</v>
      </c>
      <c r="C647" s="1" t="s">
        <v>19</v>
      </c>
      <c r="D647" s="1" t="s">
        <v>20</v>
      </c>
      <c r="E647" s="1" t="s">
        <v>33</v>
      </c>
      <c r="F647" s="1" t="s">
        <v>34</v>
      </c>
      <c r="G647">
        <v>1936</v>
      </c>
      <c r="H647">
        <v>9</v>
      </c>
      <c r="I647">
        <v>8712</v>
      </c>
      <c r="J647">
        <v>182952</v>
      </c>
      <c r="K647" s="1" t="s">
        <v>241</v>
      </c>
      <c r="L647" s="2">
        <v>0.77986111111111112</v>
      </c>
      <c r="M647" s="1" t="s">
        <v>24</v>
      </c>
      <c r="N647">
        <v>17424</v>
      </c>
      <c r="O647">
        <v>4761904762</v>
      </c>
      <c r="P647">
        <v>8712</v>
      </c>
      <c r="Q647">
        <v>87</v>
      </c>
    </row>
    <row r="648" spans="1:17" x14ac:dyDescent="0.25">
      <c r="A648" s="1" t="s">
        <v>771</v>
      </c>
      <c r="B648" s="1" t="s">
        <v>26</v>
      </c>
      <c r="C648" s="1" t="s">
        <v>27</v>
      </c>
      <c r="D648" s="1" t="s">
        <v>28</v>
      </c>
      <c r="E648" s="1" t="s">
        <v>33</v>
      </c>
      <c r="F648" s="1" t="s">
        <v>22</v>
      </c>
      <c r="G648">
        <v>7021</v>
      </c>
      <c r="H648">
        <v>6</v>
      </c>
      <c r="I648">
        <v>21063</v>
      </c>
      <c r="J648">
        <v>442323</v>
      </c>
      <c r="K648" s="1" t="s">
        <v>268</v>
      </c>
      <c r="L648" s="2">
        <v>0.62361111111111112</v>
      </c>
      <c r="M648" s="1" t="s">
        <v>31</v>
      </c>
      <c r="N648">
        <v>42126</v>
      </c>
      <c r="O648">
        <v>4761904762</v>
      </c>
      <c r="P648">
        <v>21063</v>
      </c>
      <c r="Q648">
        <v>74</v>
      </c>
    </row>
    <row r="649" spans="1:17" x14ac:dyDescent="0.25">
      <c r="A649" s="1" t="s">
        <v>772</v>
      </c>
      <c r="B649" s="1" t="s">
        <v>51</v>
      </c>
      <c r="C649" s="1" t="s">
        <v>52</v>
      </c>
      <c r="D649" s="1" t="s">
        <v>20</v>
      </c>
      <c r="E649" s="1" t="s">
        <v>33</v>
      </c>
      <c r="F649" s="1" t="s">
        <v>56</v>
      </c>
      <c r="G649">
        <v>3363</v>
      </c>
      <c r="H649">
        <v>1</v>
      </c>
      <c r="I649">
        <v>16815</v>
      </c>
      <c r="J649">
        <v>353115</v>
      </c>
      <c r="K649" s="1" t="s">
        <v>329</v>
      </c>
      <c r="L649" s="2">
        <v>0.82986111111111116</v>
      </c>
      <c r="M649" s="1" t="s">
        <v>31</v>
      </c>
      <c r="N649">
        <v>3363</v>
      </c>
      <c r="O649">
        <v>4761904762</v>
      </c>
      <c r="P649">
        <v>16815</v>
      </c>
      <c r="Q649">
        <v>56</v>
      </c>
    </row>
    <row r="650" spans="1:17" x14ac:dyDescent="0.25">
      <c r="A650" s="1" t="s">
        <v>773</v>
      </c>
      <c r="B650" s="1" t="s">
        <v>26</v>
      </c>
      <c r="C650" s="1" t="s">
        <v>27</v>
      </c>
      <c r="D650" s="1" t="s">
        <v>20</v>
      </c>
      <c r="E650" s="1" t="s">
        <v>21</v>
      </c>
      <c r="F650" s="1" t="s">
        <v>40</v>
      </c>
      <c r="G650">
        <v>1549</v>
      </c>
      <c r="H650">
        <v>2</v>
      </c>
      <c r="I650">
        <v>1549</v>
      </c>
      <c r="J650">
        <v>32529</v>
      </c>
      <c r="K650" s="1" t="s">
        <v>219</v>
      </c>
      <c r="L650" s="2">
        <v>0.63194444444444442</v>
      </c>
      <c r="M650" s="1" t="s">
        <v>31</v>
      </c>
      <c r="N650">
        <v>3098</v>
      </c>
      <c r="O650">
        <v>4761904762</v>
      </c>
      <c r="P650">
        <v>1549</v>
      </c>
      <c r="Q650">
        <v>63</v>
      </c>
    </row>
    <row r="651" spans="1:17" x14ac:dyDescent="0.25">
      <c r="A651" s="1" t="s">
        <v>774</v>
      </c>
      <c r="B651" s="1" t="s">
        <v>26</v>
      </c>
      <c r="C651" s="1" t="s">
        <v>27</v>
      </c>
      <c r="D651" s="1" t="s">
        <v>28</v>
      </c>
      <c r="E651" s="1" t="s">
        <v>33</v>
      </c>
      <c r="F651" s="1" t="s">
        <v>29</v>
      </c>
      <c r="G651">
        <v>2474</v>
      </c>
      <c r="H651">
        <v>10</v>
      </c>
      <c r="I651">
        <v>1237</v>
      </c>
      <c r="J651">
        <v>25977</v>
      </c>
      <c r="K651" s="1" t="s">
        <v>47</v>
      </c>
      <c r="L651" s="2">
        <v>0.69722222222222219</v>
      </c>
      <c r="M651" s="1" t="s">
        <v>31</v>
      </c>
      <c r="N651">
        <v>2474</v>
      </c>
      <c r="O651">
        <v>4761904762</v>
      </c>
      <c r="P651">
        <v>1237</v>
      </c>
      <c r="Q651">
        <v>71</v>
      </c>
    </row>
    <row r="652" spans="1:17" x14ac:dyDescent="0.25">
      <c r="A652" s="1" t="s">
        <v>775</v>
      </c>
      <c r="B652" s="1" t="s">
        <v>51</v>
      </c>
      <c r="C652" s="1" t="s">
        <v>52</v>
      </c>
      <c r="D652" s="1" t="s">
        <v>28</v>
      </c>
      <c r="E652" s="1" t="s">
        <v>33</v>
      </c>
      <c r="F652" s="1" t="s">
        <v>29</v>
      </c>
      <c r="G652">
        <v>7566</v>
      </c>
      <c r="H652">
        <v>5</v>
      </c>
      <c r="I652">
        <v>18915</v>
      </c>
      <c r="J652">
        <v>397215</v>
      </c>
      <c r="K652" s="1" t="s">
        <v>67</v>
      </c>
      <c r="L652" s="2">
        <v>0.76527777777777772</v>
      </c>
      <c r="M652" s="1" t="s">
        <v>24</v>
      </c>
      <c r="N652">
        <v>3783</v>
      </c>
      <c r="O652">
        <v>4761904762</v>
      </c>
      <c r="P652">
        <v>18915</v>
      </c>
      <c r="Q652">
        <v>78</v>
      </c>
    </row>
    <row r="653" spans="1:17" x14ac:dyDescent="0.25">
      <c r="A653" s="1" t="s">
        <v>776</v>
      </c>
      <c r="B653" s="1" t="s">
        <v>51</v>
      </c>
      <c r="C653" s="1" t="s">
        <v>52</v>
      </c>
      <c r="D653" s="1" t="s">
        <v>28</v>
      </c>
      <c r="E653" s="1" t="s">
        <v>21</v>
      </c>
      <c r="F653" s="1" t="s">
        <v>22</v>
      </c>
      <c r="G653">
        <v>5581</v>
      </c>
      <c r="H653">
        <v>6</v>
      </c>
      <c r="I653">
        <v>16743</v>
      </c>
      <c r="J653">
        <v>351603</v>
      </c>
      <c r="K653" s="1" t="s">
        <v>160</v>
      </c>
      <c r="L653" s="2">
        <v>0.49444444444444446</v>
      </c>
      <c r="M653" s="1" t="s">
        <v>31</v>
      </c>
      <c r="N653">
        <v>33486</v>
      </c>
      <c r="O653">
        <v>4761904762</v>
      </c>
      <c r="P653">
        <v>16743</v>
      </c>
      <c r="Q653">
        <v>99</v>
      </c>
    </row>
    <row r="654" spans="1:17" x14ac:dyDescent="0.25">
      <c r="A654" s="1" t="s">
        <v>777</v>
      </c>
      <c r="B654" s="1" t="s">
        <v>18</v>
      </c>
      <c r="C654" s="1" t="s">
        <v>19</v>
      </c>
      <c r="D654" s="1" t="s">
        <v>20</v>
      </c>
      <c r="E654" s="1" t="s">
        <v>33</v>
      </c>
      <c r="F654" s="1" t="s">
        <v>34</v>
      </c>
      <c r="G654">
        <v>7278</v>
      </c>
      <c r="H654">
        <v>10</v>
      </c>
      <c r="I654">
        <v>3639</v>
      </c>
      <c r="J654">
        <v>76419</v>
      </c>
      <c r="K654" s="1" t="s">
        <v>123</v>
      </c>
      <c r="L654" s="2">
        <v>0.72499999999999998</v>
      </c>
      <c r="M654" s="1" t="s">
        <v>31</v>
      </c>
      <c r="N654">
        <v>7278</v>
      </c>
      <c r="O654">
        <v>4761904762</v>
      </c>
      <c r="P654">
        <v>3639</v>
      </c>
      <c r="Q654">
        <v>73</v>
      </c>
    </row>
    <row r="655" spans="1:17" x14ac:dyDescent="0.25">
      <c r="A655" s="1" t="s">
        <v>778</v>
      </c>
      <c r="B655" s="1" t="s">
        <v>51</v>
      </c>
      <c r="C655" s="1" t="s">
        <v>52</v>
      </c>
      <c r="D655" s="1" t="s">
        <v>20</v>
      </c>
      <c r="E655" s="1" t="s">
        <v>33</v>
      </c>
      <c r="F655" s="1" t="s">
        <v>40</v>
      </c>
      <c r="G655">
        <v>3732</v>
      </c>
      <c r="H655">
        <v>9</v>
      </c>
      <c r="I655">
        <v>16794</v>
      </c>
      <c r="J655">
        <v>352674</v>
      </c>
      <c r="K655" s="1" t="s">
        <v>143</v>
      </c>
      <c r="L655" s="2">
        <v>0.64652777777777781</v>
      </c>
      <c r="M655" s="1" t="s">
        <v>24</v>
      </c>
      <c r="N655">
        <v>33588</v>
      </c>
      <c r="O655">
        <v>4761904762</v>
      </c>
      <c r="P655">
        <v>16794</v>
      </c>
      <c r="Q655">
        <v>51</v>
      </c>
    </row>
    <row r="656" spans="1:17" x14ac:dyDescent="0.25">
      <c r="A656" s="1" t="s">
        <v>779</v>
      </c>
      <c r="B656" s="1" t="s">
        <v>51</v>
      </c>
      <c r="C656" s="1" t="s">
        <v>52</v>
      </c>
      <c r="D656" s="1" t="s">
        <v>20</v>
      </c>
      <c r="E656" s="1" t="s">
        <v>33</v>
      </c>
      <c r="F656" s="1" t="s">
        <v>56</v>
      </c>
      <c r="G656">
        <v>6018</v>
      </c>
      <c r="H656">
        <v>4</v>
      </c>
      <c r="I656">
        <v>12036</v>
      </c>
      <c r="J656">
        <v>252756</v>
      </c>
      <c r="K656" s="1" t="s">
        <v>244</v>
      </c>
      <c r="L656" s="2">
        <v>0.75277777777777777</v>
      </c>
      <c r="M656" s="1" t="s">
        <v>36</v>
      </c>
      <c r="N656">
        <v>24072</v>
      </c>
      <c r="O656">
        <v>4761904762</v>
      </c>
      <c r="P656">
        <v>12036</v>
      </c>
      <c r="Q656">
        <v>94</v>
      </c>
    </row>
    <row r="657" spans="1:17" x14ac:dyDescent="0.25">
      <c r="A657" s="1" t="s">
        <v>780</v>
      </c>
      <c r="B657" s="1" t="s">
        <v>18</v>
      </c>
      <c r="C657" s="1" t="s">
        <v>19</v>
      </c>
      <c r="D657" s="1" t="s">
        <v>28</v>
      </c>
      <c r="E657" s="1" t="s">
        <v>21</v>
      </c>
      <c r="F657" s="1" t="s">
        <v>29</v>
      </c>
      <c r="G657">
        <v>1569</v>
      </c>
      <c r="H657">
        <v>3</v>
      </c>
      <c r="I657">
        <v>23535</v>
      </c>
      <c r="J657">
        <v>494235</v>
      </c>
      <c r="K657" s="1" t="s">
        <v>389</v>
      </c>
      <c r="L657" s="2">
        <v>0.59236111111111112</v>
      </c>
      <c r="M657" s="1" t="s">
        <v>36</v>
      </c>
      <c r="N657">
        <v>4707</v>
      </c>
      <c r="O657">
        <v>4761904762</v>
      </c>
      <c r="P657">
        <v>23535</v>
      </c>
      <c r="Q657">
        <v>58</v>
      </c>
    </row>
    <row r="658" spans="1:17" x14ac:dyDescent="0.25">
      <c r="A658" s="1" t="s">
        <v>781</v>
      </c>
      <c r="B658" s="1" t="s">
        <v>26</v>
      </c>
      <c r="C658" s="1" t="s">
        <v>27</v>
      </c>
      <c r="D658" s="1" t="s">
        <v>28</v>
      </c>
      <c r="E658" s="1" t="s">
        <v>21</v>
      </c>
      <c r="F658" s="1" t="s">
        <v>29</v>
      </c>
      <c r="G658">
        <v>9969</v>
      </c>
      <c r="H658">
        <v>1</v>
      </c>
      <c r="I658">
        <v>49845</v>
      </c>
      <c r="J658">
        <v>1046745</v>
      </c>
      <c r="K658" s="1" t="s">
        <v>116</v>
      </c>
      <c r="L658" s="2">
        <v>0.43263888888888891</v>
      </c>
      <c r="M658" s="1" t="s">
        <v>36</v>
      </c>
      <c r="N658">
        <v>9969</v>
      </c>
      <c r="O658">
        <v>4761904762</v>
      </c>
      <c r="P658">
        <v>49845</v>
      </c>
      <c r="Q658">
        <v>8</v>
      </c>
    </row>
    <row r="659" spans="1:17" x14ac:dyDescent="0.25">
      <c r="A659" s="1" t="s">
        <v>782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56</v>
      </c>
      <c r="G659">
        <v>8815</v>
      </c>
      <c r="H659">
        <v>3</v>
      </c>
      <c r="I659">
        <v>132225</v>
      </c>
      <c r="J659">
        <v>2776725</v>
      </c>
      <c r="K659" s="1" t="s">
        <v>241</v>
      </c>
      <c r="L659" s="2">
        <v>0.42430555555555555</v>
      </c>
      <c r="M659" s="1" t="s">
        <v>24</v>
      </c>
      <c r="N659">
        <v>26445</v>
      </c>
      <c r="O659">
        <v>4761904762</v>
      </c>
      <c r="P659">
        <v>132225</v>
      </c>
      <c r="Q659">
        <v>79</v>
      </c>
    </row>
    <row r="660" spans="1:17" x14ac:dyDescent="0.25">
      <c r="A660" s="1" t="s">
        <v>783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40</v>
      </c>
      <c r="G660">
        <v>2793</v>
      </c>
      <c r="H660">
        <v>5</v>
      </c>
      <c r="I660">
        <v>69825</v>
      </c>
      <c r="J660">
        <v>1466325</v>
      </c>
      <c r="K660" s="1" t="s">
        <v>260</v>
      </c>
      <c r="L660" s="2">
        <v>0.65833333333333333</v>
      </c>
      <c r="M660" s="1" t="s">
        <v>31</v>
      </c>
      <c r="N660">
        <v>13965</v>
      </c>
      <c r="O660">
        <v>4761904762</v>
      </c>
      <c r="P660">
        <v>69825</v>
      </c>
      <c r="Q660">
        <v>59</v>
      </c>
    </row>
    <row r="661" spans="1:17" x14ac:dyDescent="0.25">
      <c r="A661" s="1" t="s">
        <v>784</v>
      </c>
      <c r="B661" s="1" t="s">
        <v>18</v>
      </c>
      <c r="C661" s="1" t="s">
        <v>19</v>
      </c>
      <c r="D661" s="1" t="s">
        <v>20</v>
      </c>
      <c r="E661" s="1" t="s">
        <v>33</v>
      </c>
      <c r="F661" s="1" t="s">
        <v>56</v>
      </c>
      <c r="G661">
        <v>5545</v>
      </c>
      <c r="H661">
        <v>1</v>
      </c>
      <c r="I661">
        <v>27725</v>
      </c>
      <c r="J661">
        <v>582225</v>
      </c>
      <c r="K661" s="1" t="s">
        <v>349</v>
      </c>
      <c r="L661" s="2">
        <v>0.74027777777777781</v>
      </c>
      <c r="M661" s="1" t="s">
        <v>36</v>
      </c>
      <c r="N661">
        <v>5545</v>
      </c>
      <c r="O661">
        <v>4761904762</v>
      </c>
      <c r="P661">
        <v>27725</v>
      </c>
      <c r="Q661">
        <v>49</v>
      </c>
    </row>
    <row r="662" spans="1:17" x14ac:dyDescent="0.25">
      <c r="A662" s="1" t="s">
        <v>785</v>
      </c>
      <c r="B662" s="1" t="s">
        <v>51</v>
      </c>
      <c r="C662" s="1" t="s">
        <v>52</v>
      </c>
      <c r="D662" s="1" t="s">
        <v>28</v>
      </c>
      <c r="E662" s="1" t="s">
        <v>21</v>
      </c>
      <c r="F662" s="1" t="s">
        <v>40</v>
      </c>
      <c r="G662">
        <v>4297</v>
      </c>
      <c r="H662">
        <v>3</v>
      </c>
      <c r="I662">
        <v>64455</v>
      </c>
      <c r="J662">
        <v>1353555</v>
      </c>
      <c r="K662" s="1" t="s">
        <v>123</v>
      </c>
      <c r="L662" s="2">
        <v>0.49027777777777776</v>
      </c>
      <c r="M662" s="1" t="s">
        <v>31</v>
      </c>
      <c r="N662">
        <v>12891</v>
      </c>
      <c r="O662">
        <v>4761904762</v>
      </c>
      <c r="P662">
        <v>64455</v>
      </c>
      <c r="Q662">
        <v>93</v>
      </c>
    </row>
    <row r="663" spans="1:17" x14ac:dyDescent="0.25">
      <c r="A663" s="1" t="s">
        <v>786</v>
      </c>
      <c r="B663" s="1" t="s">
        <v>26</v>
      </c>
      <c r="C663" s="1" t="s">
        <v>27</v>
      </c>
      <c r="D663" s="1" t="s">
        <v>20</v>
      </c>
      <c r="E663" s="1" t="s">
        <v>33</v>
      </c>
      <c r="F663" s="1" t="s">
        <v>40</v>
      </c>
      <c r="G663">
        <v>1714</v>
      </c>
      <c r="H663">
        <v>7</v>
      </c>
      <c r="I663">
        <v>5999</v>
      </c>
      <c r="J663">
        <v>125979</v>
      </c>
      <c r="K663" s="1" t="s">
        <v>219</v>
      </c>
      <c r="L663" s="2">
        <v>0.50486111111111109</v>
      </c>
      <c r="M663" s="1" t="s">
        <v>36</v>
      </c>
      <c r="N663">
        <v>11998</v>
      </c>
      <c r="O663">
        <v>4761904762</v>
      </c>
      <c r="P663">
        <v>5999</v>
      </c>
      <c r="Q663">
        <v>79</v>
      </c>
    </row>
    <row r="664" spans="1:17" x14ac:dyDescent="0.25">
      <c r="A664" s="1" t="s">
        <v>787</v>
      </c>
      <c r="B664" s="1" t="s">
        <v>51</v>
      </c>
      <c r="C664" s="1" t="s">
        <v>52</v>
      </c>
      <c r="D664" s="1" t="s">
        <v>20</v>
      </c>
      <c r="E664" s="1" t="s">
        <v>21</v>
      </c>
      <c r="F664" s="1" t="s">
        <v>56</v>
      </c>
      <c r="G664">
        <v>5875</v>
      </c>
      <c r="H664">
        <v>6</v>
      </c>
      <c r="I664">
        <v>17625</v>
      </c>
      <c r="J664">
        <v>370125</v>
      </c>
      <c r="K664" s="1" t="s">
        <v>207</v>
      </c>
      <c r="L664" s="2">
        <v>0.75972222222222219</v>
      </c>
      <c r="M664" s="1" t="s">
        <v>36</v>
      </c>
      <c r="N664">
        <v>3525</v>
      </c>
      <c r="O664">
        <v>4761904762</v>
      </c>
      <c r="P664">
        <v>17625</v>
      </c>
      <c r="Q664">
        <v>59</v>
      </c>
    </row>
    <row r="665" spans="1:17" x14ac:dyDescent="0.25">
      <c r="A665" s="1" t="s">
        <v>788</v>
      </c>
      <c r="B665" s="1" t="s">
        <v>26</v>
      </c>
      <c r="C665" s="1" t="s">
        <v>27</v>
      </c>
      <c r="D665" s="1" t="s">
        <v>20</v>
      </c>
      <c r="E665" s="1" t="s">
        <v>21</v>
      </c>
      <c r="F665" s="1" t="s">
        <v>53</v>
      </c>
      <c r="G665">
        <v>871</v>
      </c>
      <c r="H665">
        <v>10</v>
      </c>
      <c r="I665">
        <v>4355</v>
      </c>
      <c r="J665">
        <v>91455</v>
      </c>
      <c r="K665" s="1" t="s">
        <v>61</v>
      </c>
      <c r="L665" s="2">
        <v>0.61458333333333337</v>
      </c>
      <c r="M665" s="1" t="s">
        <v>36</v>
      </c>
      <c r="N665">
        <v>871</v>
      </c>
      <c r="O665">
        <v>4761904762</v>
      </c>
      <c r="P665">
        <v>4355</v>
      </c>
      <c r="Q665">
        <v>99</v>
      </c>
    </row>
    <row r="666" spans="1:17" x14ac:dyDescent="0.25">
      <c r="A666" s="1" t="s">
        <v>789</v>
      </c>
      <c r="B666" s="1" t="s">
        <v>26</v>
      </c>
      <c r="C666" s="1" t="s">
        <v>27</v>
      </c>
      <c r="D666" s="1" t="s">
        <v>28</v>
      </c>
      <c r="E666" s="1" t="s">
        <v>21</v>
      </c>
      <c r="F666" s="1" t="s">
        <v>40</v>
      </c>
      <c r="G666">
        <v>988</v>
      </c>
      <c r="H666">
        <v>2</v>
      </c>
      <c r="I666">
        <v>988</v>
      </c>
      <c r="J666">
        <v>20748</v>
      </c>
      <c r="K666" s="1" t="s">
        <v>335</v>
      </c>
      <c r="L666" s="2">
        <v>0.48541666666666666</v>
      </c>
      <c r="M666" s="1" t="s">
        <v>31</v>
      </c>
      <c r="N666">
        <v>1976</v>
      </c>
      <c r="O666">
        <v>4761904762</v>
      </c>
      <c r="P666">
        <v>988</v>
      </c>
      <c r="Q666">
        <v>77</v>
      </c>
    </row>
    <row r="667" spans="1:17" x14ac:dyDescent="0.25">
      <c r="A667" s="1" t="s">
        <v>790</v>
      </c>
      <c r="B667" s="1" t="s">
        <v>18</v>
      </c>
      <c r="C667" s="1" t="s">
        <v>19</v>
      </c>
      <c r="D667" s="1" t="s">
        <v>28</v>
      </c>
      <c r="E667" s="1" t="s">
        <v>21</v>
      </c>
      <c r="F667" s="1" t="s">
        <v>56</v>
      </c>
      <c r="G667">
        <v>4863</v>
      </c>
      <c r="H667">
        <v>4</v>
      </c>
      <c r="I667">
        <v>9726</v>
      </c>
      <c r="J667">
        <v>204246</v>
      </c>
      <c r="K667" s="1" t="s">
        <v>470</v>
      </c>
      <c r="L667" s="2">
        <v>0.65555555555555556</v>
      </c>
      <c r="M667" s="1" t="s">
        <v>24</v>
      </c>
      <c r="N667">
        <v>19452</v>
      </c>
      <c r="O667">
        <v>4761904762</v>
      </c>
      <c r="P667">
        <v>9726</v>
      </c>
      <c r="Q667">
        <v>76</v>
      </c>
    </row>
    <row r="668" spans="1:17" x14ac:dyDescent="0.25">
      <c r="A668" s="1" t="s">
        <v>791</v>
      </c>
      <c r="B668" s="1" t="s">
        <v>51</v>
      </c>
      <c r="C668" s="1" t="s">
        <v>52</v>
      </c>
      <c r="D668" s="1" t="s">
        <v>20</v>
      </c>
      <c r="E668" s="1" t="s">
        <v>33</v>
      </c>
      <c r="F668" s="1" t="s">
        <v>53</v>
      </c>
      <c r="G668">
        <v>5774</v>
      </c>
      <c r="H668">
        <v>3</v>
      </c>
      <c r="I668">
        <v>8661</v>
      </c>
      <c r="J668">
        <v>181881</v>
      </c>
      <c r="K668" s="1" t="s">
        <v>54</v>
      </c>
      <c r="L668" s="2">
        <v>0.54583333333333328</v>
      </c>
      <c r="M668" s="1" t="s">
        <v>24</v>
      </c>
      <c r="N668">
        <v>17322</v>
      </c>
      <c r="O668">
        <v>4761904762</v>
      </c>
      <c r="P668">
        <v>8661</v>
      </c>
      <c r="Q668">
        <v>77</v>
      </c>
    </row>
    <row r="669" spans="1:17" x14ac:dyDescent="0.25">
      <c r="A669" s="1" t="s">
        <v>792</v>
      </c>
      <c r="B669" s="1" t="s">
        <v>51</v>
      </c>
      <c r="C669" s="1" t="s">
        <v>52</v>
      </c>
      <c r="D669" s="1" t="s">
        <v>28</v>
      </c>
      <c r="E669" s="1" t="s">
        <v>21</v>
      </c>
      <c r="F669" s="1" t="s">
        <v>22</v>
      </c>
      <c r="G669">
        <v>1797</v>
      </c>
      <c r="H669">
        <v>4</v>
      </c>
      <c r="I669">
        <v>3594</v>
      </c>
      <c r="J669">
        <v>75474</v>
      </c>
      <c r="K669" s="1" t="s">
        <v>175</v>
      </c>
      <c r="L669" s="2">
        <v>0.86319444444444449</v>
      </c>
      <c r="M669" s="1" t="s">
        <v>24</v>
      </c>
      <c r="N669">
        <v>7188</v>
      </c>
      <c r="O669">
        <v>4761904762</v>
      </c>
      <c r="P669">
        <v>3594</v>
      </c>
      <c r="Q669">
        <v>64</v>
      </c>
    </row>
    <row r="670" spans="1:17" x14ac:dyDescent="0.25">
      <c r="A670" s="1" t="s">
        <v>793</v>
      </c>
      <c r="B670" s="1" t="s">
        <v>26</v>
      </c>
      <c r="C670" s="1" t="s">
        <v>27</v>
      </c>
      <c r="D670" s="1" t="s">
        <v>20</v>
      </c>
      <c r="E670" s="1" t="s">
        <v>21</v>
      </c>
      <c r="F670" s="1" t="s">
        <v>22</v>
      </c>
      <c r="G670">
        <v>4771</v>
      </c>
      <c r="H670">
        <v>6</v>
      </c>
      <c r="I670">
        <v>14313</v>
      </c>
      <c r="J670">
        <v>300573</v>
      </c>
      <c r="K670" s="1" t="s">
        <v>244</v>
      </c>
      <c r="L670" s="2">
        <v>0.59652777777777777</v>
      </c>
      <c r="M670" s="1" t="s">
        <v>24</v>
      </c>
      <c r="N670">
        <v>28626</v>
      </c>
      <c r="O670">
        <v>4761904762</v>
      </c>
      <c r="P670">
        <v>14313</v>
      </c>
      <c r="Q670">
        <v>44</v>
      </c>
    </row>
    <row r="671" spans="1:17" x14ac:dyDescent="0.25">
      <c r="A671" s="1" t="s">
        <v>794</v>
      </c>
      <c r="B671" s="1" t="s">
        <v>51</v>
      </c>
      <c r="C671" s="1" t="s">
        <v>52</v>
      </c>
      <c r="D671" s="1" t="s">
        <v>28</v>
      </c>
      <c r="E671" s="1" t="s">
        <v>21</v>
      </c>
      <c r="F671" s="1" t="s">
        <v>40</v>
      </c>
      <c r="G671">
        <v>4062</v>
      </c>
      <c r="H671">
        <v>2</v>
      </c>
      <c r="I671">
        <v>4062</v>
      </c>
      <c r="J671">
        <v>85302</v>
      </c>
      <c r="K671" s="1" t="s">
        <v>106</v>
      </c>
      <c r="L671" s="2">
        <v>0.41736111111111113</v>
      </c>
      <c r="M671" s="1" t="s">
        <v>36</v>
      </c>
      <c r="N671">
        <v>8124</v>
      </c>
      <c r="O671">
        <v>4761904762</v>
      </c>
      <c r="P671">
        <v>4062</v>
      </c>
      <c r="Q671">
        <v>41</v>
      </c>
    </row>
    <row r="672" spans="1:17" x14ac:dyDescent="0.25">
      <c r="A672" s="1" t="s">
        <v>795</v>
      </c>
      <c r="B672" s="1" t="s">
        <v>18</v>
      </c>
      <c r="C672" s="1" t="s">
        <v>19</v>
      </c>
      <c r="D672" s="1" t="s">
        <v>20</v>
      </c>
      <c r="E672" s="1" t="s">
        <v>33</v>
      </c>
      <c r="F672" s="1" t="s">
        <v>56</v>
      </c>
      <c r="G672">
        <v>5604</v>
      </c>
      <c r="H672">
        <v>10</v>
      </c>
      <c r="I672">
        <v>2802</v>
      </c>
      <c r="J672">
        <v>58842</v>
      </c>
      <c r="K672" s="1" t="s">
        <v>317</v>
      </c>
      <c r="L672" s="2">
        <v>0.8125</v>
      </c>
      <c r="M672" s="1" t="s">
        <v>24</v>
      </c>
      <c r="N672">
        <v>5604</v>
      </c>
      <c r="O672">
        <v>4761904762</v>
      </c>
      <c r="P672">
        <v>2802</v>
      </c>
      <c r="Q672">
        <v>44</v>
      </c>
    </row>
    <row r="673" spans="1:17" x14ac:dyDescent="0.25">
      <c r="A673" s="1" t="s">
        <v>796</v>
      </c>
      <c r="B673" s="1" t="s">
        <v>51</v>
      </c>
      <c r="C673" s="1" t="s">
        <v>52</v>
      </c>
      <c r="D673" s="1" t="s">
        <v>20</v>
      </c>
      <c r="E673" s="1" t="s">
        <v>33</v>
      </c>
      <c r="F673" s="1" t="s">
        <v>53</v>
      </c>
      <c r="G673">
        <v>934</v>
      </c>
      <c r="H673">
        <v>2</v>
      </c>
      <c r="I673">
        <v>934</v>
      </c>
      <c r="J673">
        <v>19614</v>
      </c>
      <c r="K673" s="1" t="s">
        <v>268</v>
      </c>
      <c r="L673" s="2">
        <v>0.69027777777777777</v>
      </c>
      <c r="M673" s="1" t="s">
        <v>31</v>
      </c>
      <c r="N673">
        <v>1868</v>
      </c>
      <c r="O673">
        <v>4761904762</v>
      </c>
      <c r="P673">
        <v>934</v>
      </c>
      <c r="Q673">
        <v>55</v>
      </c>
    </row>
    <row r="674" spans="1:17" x14ac:dyDescent="0.25">
      <c r="A674" s="1" t="s">
        <v>797</v>
      </c>
      <c r="B674" s="1" t="s">
        <v>51</v>
      </c>
      <c r="C674" s="1" t="s">
        <v>52</v>
      </c>
      <c r="D674" s="1" t="s">
        <v>28</v>
      </c>
      <c r="E674" s="1" t="s">
        <v>21</v>
      </c>
      <c r="F674" s="1" t="s">
        <v>22</v>
      </c>
      <c r="G674">
        <v>7341</v>
      </c>
      <c r="H674">
        <v>3</v>
      </c>
      <c r="I674">
        <v>110115</v>
      </c>
      <c r="J674">
        <v>2312415</v>
      </c>
      <c r="K674" s="1" t="s">
        <v>83</v>
      </c>
      <c r="L674" s="2">
        <v>0.54861111111111116</v>
      </c>
      <c r="M674" s="1" t="s">
        <v>24</v>
      </c>
      <c r="N674">
        <v>22023</v>
      </c>
      <c r="O674">
        <v>4761904762</v>
      </c>
      <c r="P674">
        <v>110115</v>
      </c>
      <c r="Q674">
        <v>4</v>
      </c>
    </row>
    <row r="675" spans="1:17" x14ac:dyDescent="0.25">
      <c r="A675" s="1" t="s">
        <v>798</v>
      </c>
      <c r="B675" s="1" t="s">
        <v>26</v>
      </c>
      <c r="C675" s="1" t="s">
        <v>27</v>
      </c>
      <c r="D675" s="1" t="s">
        <v>28</v>
      </c>
      <c r="E675" s="1" t="s">
        <v>33</v>
      </c>
      <c r="F675" s="1" t="s">
        <v>22</v>
      </c>
      <c r="G675">
        <v>3364</v>
      </c>
      <c r="H675">
        <v>8</v>
      </c>
      <c r="I675">
        <v>13456</v>
      </c>
      <c r="J675">
        <v>282576</v>
      </c>
      <c r="K675" s="1" t="s">
        <v>139</v>
      </c>
      <c r="L675" s="2">
        <v>0.71527777777777779</v>
      </c>
      <c r="M675" s="1" t="s">
        <v>36</v>
      </c>
      <c r="N675">
        <v>26912</v>
      </c>
      <c r="O675">
        <v>4761904762</v>
      </c>
      <c r="P675">
        <v>13456</v>
      </c>
      <c r="Q675">
        <v>93</v>
      </c>
    </row>
    <row r="676" spans="1:17" x14ac:dyDescent="0.25">
      <c r="A676" s="1" t="s">
        <v>799</v>
      </c>
      <c r="B676" s="1" t="s">
        <v>18</v>
      </c>
      <c r="C676" s="1" t="s">
        <v>19</v>
      </c>
      <c r="D676" s="1" t="s">
        <v>28</v>
      </c>
      <c r="E676" s="1" t="s">
        <v>21</v>
      </c>
      <c r="F676" s="1" t="s">
        <v>29</v>
      </c>
      <c r="G676">
        <v>4548</v>
      </c>
      <c r="H676">
        <v>10</v>
      </c>
      <c r="I676">
        <v>2274</v>
      </c>
      <c r="J676">
        <v>47754</v>
      </c>
      <c r="K676" s="1" t="s">
        <v>197</v>
      </c>
      <c r="L676" s="2">
        <v>0.43194444444444446</v>
      </c>
      <c r="M676" s="1" t="s">
        <v>36</v>
      </c>
      <c r="N676">
        <v>4548</v>
      </c>
      <c r="O676">
        <v>4761904762</v>
      </c>
      <c r="P676">
        <v>2274</v>
      </c>
      <c r="Q676">
        <v>48</v>
      </c>
    </row>
    <row r="677" spans="1:17" x14ac:dyDescent="0.25">
      <c r="A677" s="1" t="s">
        <v>800</v>
      </c>
      <c r="B677" s="1" t="s">
        <v>51</v>
      </c>
      <c r="C677" s="1" t="s">
        <v>52</v>
      </c>
      <c r="D677" s="1" t="s">
        <v>20</v>
      </c>
      <c r="E677" s="1" t="s">
        <v>33</v>
      </c>
      <c r="F677" s="1" t="s">
        <v>56</v>
      </c>
      <c r="G677">
        <v>8377</v>
      </c>
      <c r="H677">
        <v>2</v>
      </c>
      <c r="I677">
        <v>8377</v>
      </c>
      <c r="J677">
        <v>175917</v>
      </c>
      <c r="K677" s="1" t="s">
        <v>47</v>
      </c>
      <c r="L677" s="2">
        <v>0.83125000000000004</v>
      </c>
      <c r="M677" s="1" t="s">
        <v>31</v>
      </c>
      <c r="N677">
        <v>16754</v>
      </c>
      <c r="O677">
        <v>4761904762</v>
      </c>
      <c r="P677">
        <v>8377</v>
      </c>
      <c r="Q677">
        <v>46</v>
      </c>
    </row>
    <row r="678" spans="1:17" x14ac:dyDescent="0.25">
      <c r="A678" s="1" t="s">
        <v>801</v>
      </c>
      <c r="B678" s="1" t="s">
        <v>51</v>
      </c>
      <c r="C678" s="1" t="s">
        <v>52</v>
      </c>
      <c r="D678" s="1" t="s">
        <v>20</v>
      </c>
      <c r="E678" s="1" t="s">
        <v>21</v>
      </c>
      <c r="F678" s="1" t="s">
        <v>40</v>
      </c>
      <c r="G678">
        <v>6408</v>
      </c>
      <c r="H678">
        <v>7</v>
      </c>
      <c r="I678">
        <v>22428</v>
      </c>
      <c r="J678">
        <v>470988</v>
      </c>
      <c r="K678" s="1" t="s">
        <v>489</v>
      </c>
      <c r="L678" s="2">
        <v>0.81180555555555556</v>
      </c>
      <c r="M678" s="1" t="s">
        <v>36</v>
      </c>
      <c r="N678">
        <v>44856</v>
      </c>
      <c r="O678">
        <v>4761904762</v>
      </c>
      <c r="P678">
        <v>22428</v>
      </c>
      <c r="Q678">
        <v>73</v>
      </c>
    </row>
    <row r="679" spans="1:17" x14ac:dyDescent="0.25">
      <c r="A679" s="1" t="s">
        <v>802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53</v>
      </c>
      <c r="G679">
        <v>7347</v>
      </c>
      <c r="H679">
        <v>4</v>
      </c>
      <c r="I679">
        <v>14694</v>
      </c>
      <c r="J679">
        <v>308574</v>
      </c>
      <c r="K679" s="1" t="s">
        <v>175</v>
      </c>
      <c r="L679" s="2">
        <v>0.77083333333333337</v>
      </c>
      <c r="M679" s="1" t="s">
        <v>31</v>
      </c>
      <c r="N679">
        <v>29388</v>
      </c>
      <c r="O679">
        <v>4761904762</v>
      </c>
      <c r="P679">
        <v>14694</v>
      </c>
      <c r="Q679">
        <v>6</v>
      </c>
    </row>
    <row r="680" spans="1:17" x14ac:dyDescent="0.25">
      <c r="A680" s="1" t="s">
        <v>803</v>
      </c>
      <c r="B680" s="1" t="s">
        <v>26</v>
      </c>
      <c r="C680" s="1" t="s">
        <v>27</v>
      </c>
      <c r="D680" s="1" t="s">
        <v>28</v>
      </c>
      <c r="E680" s="1" t="s">
        <v>33</v>
      </c>
      <c r="F680" s="1" t="s">
        <v>22</v>
      </c>
      <c r="G680">
        <v>5895</v>
      </c>
      <c r="H680">
        <v>10</v>
      </c>
      <c r="I680">
        <v>29475</v>
      </c>
      <c r="J680">
        <v>618975</v>
      </c>
      <c r="K680" s="1" t="s">
        <v>63</v>
      </c>
      <c r="L680" s="2">
        <v>0.6020833333333333</v>
      </c>
      <c r="M680" s="1" t="s">
        <v>24</v>
      </c>
      <c r="N680">
        <v>5895</v>
      </c>
      <c r="O680">
        <v>4761904762</v>
      </c>
      <c r="P680">
        <v>29475</v>
      </c>
      <c r="Q680">
        <v>81</v>
      </c>
    </row>
    <row r="681" spans="1:17" x14ac:dyDescent="0.25">
      <c r="A681" s="1" t="s">
        <v>804</v>
      </c>
      <c r="B681" s="1" t="s">
        <v>18</v>
      </c>
      <c r="C681" s="1" t="s">
        <v>19</v>
      </c>
      <c r="D681" s="1" t="s">
        <v>20</v>
      </c>
      <c r="E681" s="1" t="s">
        <v>33</v>
      </c>
      <c r="F681" s="1" t="s">
        <v>53</v>
      </c>
      <c r="G681">
        <v>485</v>
      </c>
      <c r="H681">
        <v>6</v>
      </c>
      <c r="I681">
        <v>1455</v>
      </c>
      <c r="J681">
        <v>30555</v>
      </c>
      <c r="K681" s="1" t="s">
        <v>345</v>
      </c>
      <c r="L681" s="2">
        <v>0.58125000000000004</v>
      </c>
      <c r="M681" s="1" t="s">
        <v>24</v>
      </c>
      <c r="N681">
        <v>291</v>
      </c>
      <c r="O681">
        <v>4761904762</v>
      </c>
      <c r="P681">
        <v>1455</v>
      </c>
      <c r="Q681">
        <v>94</v>
      </c>
    </row>
    <row r="682" spans="1:17" x14ac:dyDescent="0.25">
      <c r="A682" s="1" t="s">
        <v>805</v>
      </c>
      <c r="B682" s="1" t="s">
        <v>51</v>
      </c>
      <c r="C682" s="1" t="s">
        <v>52</v>
      </c>
      <c r="D682" s="1" t="s">
        <v>20</v>
      </c>
      <c r="E682" s="1" t="s">
        <v>21</v>
      </c>
      <c r="F682" s="1" t="s">
        <v>29</v>
      </c>
      <c r="G682">
        <v>3948</v>
      </c>
      <c r="H682">
        <v>1</v>
      </c>
      <c r="I682">
        <v>1974</v>
      </c>
      <c r="J682">
        <v>41454</v>
      </c>
      <c r="K682" s="1" t="s">
        <v>61</v>
      </c>
      <c r="L682" s="2">
        <v>0.82152777777777775</v>
      </c>
      <c r="M682" s="1" t="s">
        <v>31</v>
      </c>
      <c r="N682">
        <v>3948</v>
      </c>
      <c r="O682">
        <v>4761904762</v>
      </c>
      <c r="P682">
        <v>1974</v>
      </c>
      <c r="Q682">
        <v>65</v>
      </c>
    </row>
    <row r="683" spans="1:17" x14ac:dyDescent="0.25">
      <c r="A683" s="1" t="s">
        <v>806</v>
      </c>
      <c r="B683" s="1" t="s">
        <v>51</v>
      </c>
      <c r="C683" s="1" t="s">
        <v>52</v>
      </c>
      <c r="D683" s="1" t="s">
        <v>28</v>
      </c>
      <c r="E683" s="1" t="s">
        <v>21</v>
      </c>
      <c r="F683" s="1" t="s">
        <v>40</v>
      </c>
      <c r="G683">
        <v>3481</v>
      </c>
      <c r="H683">
        <v>1</v>
      </c>
      <c r="I683">
        <v>17405</v>
      </c>
      <c r="J683">
        <v>365505</v>
      </c>
      <c r="K683" s="1" t="s">
        <v>317</v>
      </c>
      <c r="L683" s="2">
        <v>0.42430555555555555</v>
      </c>
      <c r="M683" s="1" t="s">
        <v>36</v>
      </c>
      <c r="N683">
        <v>3481</v>
      </c>
      <c r="O683">
        <v>4761904762</v>
      </c>
      <c r="P683">
        <v>17405</v>
      </c>
      <c r="Q683">
        <v>7</v>
      </c>
    </row>
    <row r="684" spans="1:17" x14ac:dyDescent="0.25">
      <c r="A684" s="1" t="s">
        <v>807</v>
      </c>
      <c r="B684" s="1" t="s">
        <v>26</v>
      </c>
      <c r="C684" s="1" t="s">
        <v>27</v>
      </c>
      <c r="D684" s="1" t="s">
        <v>28</v>
      </c>
      <c r="E684" s="1" t="s">
        <v>21</v>
      </c>
      <c r="F684" s="1" t="s">
        <v>56</v>
      </c>
      <c r="G684">
        <v>4932</v>
      </c>
      <c r="H684">
        <v>6</v>
      </c>
      <c r="I684">
        <v>14796</v>
      </c>
      <c r="J684">
        <v>310716</v>
      </c>
      <c r="K684" s="1" t="s">
        <v>164</v>
      </c>
      <c r="L684" s="2">
        <v>0.57361111111111107</v>
      </c>
      <c r="M684" s="1" t="s">
        <v>24</v>
      </c>
      <c r="N684">
        <v>29592</v>
      </c>
      <c r="O684">
        <v>4761904762</v>
      </c>
      <c r="P684">
        <v>14796</v>
      </c>
      <c r="Q684">
        <v>71</v>
      </c>
    </row>
    <row r="685" spans="1:17" x14ac:dyDescent="0.25">
      <c r="A685" s="1" t="s">
        <v>808</v>
      </c>
      <c r="B685" s="1" t="s">
        <v>18</v>
      </c>
      <c r="C685" s="1" t="s">
        <v>19</v>
      </c>
      <c r="D685" s="1" t="s">
        <v>20</v>
      </c>
      <c r="E685" s="1" t="s">
        <v>33</v>
      </c>
      <c r="F685" s="1" t="s">
        <v>56</v>
      </c>
      <c r="G685">
        <v>2148</v>
      </c>
      <c r="H685">
        <v>2</v>
      </c>
      <c r="I685">
        <v>2148</v>
      </c>
      <c r="J685">
        <v>45108</v>
      </c>
      <c r="K685" s="1" t="s">
        <v>116</v>
      </c>
      <c r="L685" s="2">
        <v>0.51527777777777772</v>
      </c>
      <c r="M685" s="1" t="s">
        <v>24</v>
      </c>
      <c r="N685">
        <v>4296</v>
      </c>
      <c r="O685">
        <v>4761904762</v>
      </c>
      <c r="P685">
        <v>2148</v>
      </c>
      <c r="Q685">
        <v>66</v>
      </c>
    </row>
    <row r="686" spans="1:17" x14ac:dyDescent="0.25">
      <c r="A686" s="1" t="s">
        <v>809</v>
      </c>
      <c r="B686" s="1" t="s">
        <v>51</v>
      </c>
      <c r="C686" s="1" t="s">
        <v>52</v>
      </c>
      <c r="D686" s="1" t="s">
        <v>20</v>
      </c>
      <c r="E686" s="1" t="s">
        <v>21</v>
      </c>
      <c r="F686" s="1" t="s">
        <v>40</v>
      </c>
      <c r="G686">
        <v>2308</v>
      </c>
      <c r="H686">
        <v>6</v>
      </c>
      <c r="I686">
        <v>6924</v>
      </c>
      <c r="J686">
        <v>145404</v>
      </c>
      <c r="K686" s="1" t="s">
        <v>151</v>
      </c>
      <c r="L686" s="2">
        <v>0.80555555555555558</v>
      </c>
      <c r="M686" s="1" t="s">
        <v>24</v>
      </c>
      <c r="N686">
        <v>13848</v>
      </c>
      <c r="O686">
        <v>4761904762</v>
      </c>
      <c r="P686">
        <v>6924</v>
      </c>
      <c r="Q686">
        <v>49</v>
      </c>
    </row>
    <row r="687" spans="1:17" x14ac:dyDescent="0.25">
      <c r="A687" s="1" t="s">
        <v>810</v>
      </c>
      <c r="B687" s="1" t="s">
        <v>51</v>
      </c>
      <c r="C687" s="1" t="s">
        <v>52</v>
      </c>
      <c r="D687" s="1" t="s">
        <v>20</v>
      </c>
      <c r="E687" s="1" t="s">
        <v>21</v>
      </c>
      <c r="F687" s="1" t="s">
        <v>34</v>
      </c>
      <c r="G687">
        <v>491</v>
      </c>
      <c r="H687">
        <v>2</v>
      </c>
      <c r="I687">
        <v>491</v>
      </c>
      <c r="J687">
        <v>10311</v>
      </c>
      <c r="K687" s="1" t="s">
        <v>230</v>
      </c>
      <c r="L687" s="2">
        <v>0.54027777777777775</v>
      </c>
      <c r="M687" s="1" t="s">
        <v>36</v>
      </c>
      <c r="N687">
        <v>982</v>
      </c>
      <c r="O687">
        <v>4761904762</v>
      </c>
      <c r="P687">
        <v>491</v>
      </c>
      <c r="Q687">
        <v>64</v>
      </c>
    </row>
    <row r="688" spans="1:17" x14ac:dyDescent="0.25">
      <c r="A688" s="1" t="s">
        <v>811</v>
      </c>
      <c r="B688" s="1" t="s">
        <v>51</v>
      </c>
      <c r="C688" s="1" t="s">
        <v>52</v>
      </c>
      <c r="D688" s="1" t="s">
        <v>20</v>
      </c>
      <c r="E688" s="1" t="s">
        <v>21</v>
      </c>
      <c r="F688" s="1" t="s">
        <v>40</v>
      </c>
      <c r="G688">
        <v>6483</v>
      </c>
      <c r="H688">
        <v>2</v>
      </c>
      <c r="I688">
        <v>6483</v>
      </c>
      <c r="J688">
        <v>136143</v>
      </c>
      <c r="K688" s="1" t="s">
        <v>230</v>
      </c>
      <c r="L688" s="2">
        <v>0.49930555555555556</v>
      </c>
      <c r="M688" s="1" t="s">
        <v>36</v>
      </c>
      <c r="N688">
        <v>12966</v>
      </c>
      <c r="O688">
        <v>4761904762</v>
      </c>
      <c r="P688">
        <v>6483</v>
      </c>
      <c r="Q688">
        <v>8</v>
      </c>
    </row>
    <row r="689" spans="1:17" x14ac:dyDescent="0.25">
      <c r="A689" s="1" t="s">
        <v>812</v>
      </c>
      <c r="B689" s="1" t="s">
        <v>18</v>
      </c>
      <c r="C689" s="1" t="s">
        <v>19</v>
      </c>
      <c r="D689" s="1" t="s">
        <v>20</v>
      </c>
      <c r="E689" s="1" t="s">
        <v>33</v>
      </c>
      <c r="F689" s="1" t="s">
        <v>34</v>
      </c>
      <c r="G689">
        <v>6356</v>
      </c>
      <c r="H689">
        <v>10</v>
      </c>
      <c r="I689">
        <v>3178</v>
      </c>
      <c r="J689">
        <v>66738</v>
      </c>
      <c r="K689" s="1" t="s">
        <v>219</v>
      </c>
      <c r="L689" s="2">
        <v>0.74930555555555556</v>
      </c>
      <c r="M689" s="1" t="s">
        <v>31</v>
      </c>
      <c r="N689">
        <v>6356</v>
      </c>
      <c r="O689">
        <v>4761904762</v>
      </c>
      <c r="P689">
        <v>3178</v>
      </c>
      <c r="Q689">
        <v>43</v>
      </c>
    </row>
    <row r="690" spans="1:17" x14ac:dyDescent="0.25">
      <c r="A690" s="1" t="s">
        <v>813</v>
      </c>
      <c r="B690" s="1" t="s">
        <v>26</v>
      </c>
      <c r="C690" s="1" t="s">
        <v>27</v>
      </c>
      <c r="D690" s="1" t="s">
        <v>20</v>
      </c>
      <c r="E690" s="1" t="s">
        <v>33</v>
      </c>
      <c r="F690" s="1" t="s">
        <v>40</v>
      </c>
      <c r="G690">
        <v>7288</v>
      </c>
      <c r="H690">
        <v>2</v>
      </c>
      <c r="I690">
        <v>7288</v>
      </c>
      <c r="J690">
        <v>153048</v>
      </c>
      <c r="K690" s="1" t="s">
        <v>147</v>
      </c>
      <c r="L690" s="2">
        <v>0.53541666666666665</v>
      </c>
      <c r="M690" s="1" t="s">
        <v>31</v>
      </c>
      <c r="N690">
        <v>14576</v>
      </c>
      <c r="O690">
        <v>4761904762</v>
      </c>
      <c r="P690">
        <v>7288</v>
      </c>
      <c r="Q690">
        <v>61</v>
      </c>
    </row>
    <row r="691" spans="1:17" x14ac:dyDescent="0.25">
      <c r="A691" s="1" t="s">
        <v>814</v>
      </c>
      <c r="B691" s="1" t="s">
        <v>18</v>
      </c>
      <c r="C691" s="1" t="s">
        <v>19</v>
      </c>
      <c r="D691" s="1" t="s">
        <v>28</v>
      </c>
      <c r="E691" s="1" t="s">
        <v>21</v>
      </c>
      <c r="F691" s="1" t="s">
        <v>53</v>
      </c>
      <c r="G691">
        <v>671</v>
      </c>
      <c r="H691">
        <v>3</v>
      </c>
      <c r="I691">
        <v>10065</v>
      </c>
      <c r="J691">
        <v>211365</v>
      </c>
      <c r="K691" s="1" t="s">
        <v>139</v>
      </c>
      <c r="L691" s="2">
        <v>0.44166666666666665</v>
      </c>
      <c r="M691" s="1" t="s">
        <v>31</v>
      </c>
      <c r="N691">
        <v>2013</v>
      </c>
      <c r="O691">
        <v>4761904762</v>
      </c>
      <c r="P691">
        <v>10065</v>
      </c>
      <c r="Q691">
        <v>75</v>
      </c>
    </row>
    <row r="692" spans="1:17" x14ac:dyDescent="0.25">
      <c r="A692" s="1" t="s">
        <v>815</v>
      </c>
      <c r="B692" s="1" t="s">
        <v>26</v>
      </c>
      <c r="C692" s="1" t="s">
        <v>27</v>
      </c>
      <c r="D692" s="1" t="s">
        <v>20</v>
      </c>
      <c r="E692" s="1" t="s">
        <v>21</v>
      </c>
      <c r="F692" s="1" t="s">
        <v>40</v>
      </c>
      <c r="G692">
        <v>7019</v>
      </c>
      <c r="H692">
        <v>9</v>
      </c>
      <c r="I692">
        <v>315855</v>
      </c>
      <c r="J692">
        <v>6632955</v>
      </c>
      <c r="K692" s="1" t="s">
        <v>90</v>
      </c>
      <c r="L692" s="2">
        <v>0.56805555555555554</v>
      </c>
      <c r="M692" s="1" t="s">
        <v>31</v>
      </c>
      <c r="N692">
        <v>63171</v>
      </c>
      <c r="O692">
        <v>4761904762</v>
      </c>
      <c r="P692">
        <v>315855</v>
      </c>
      <c r="Q692">
        <v>67</v>
      </c>
    </row>
    <row r="693" spans="1:17" x14ac:dyDescent="0.25">
      <c r="A693" s="1" t="s">
        <v>816</v>
      </c>
      <c r="B693" s="1" t="s">
        <v>26</v>
      </c>
      <c r="C693" s="1" t="s">
        <v>27</v>
      </c>
      <c r="D693" s="1" t="s">
        <v>20</v>
      </c>
      <c r="E693" s="1" t="s">
        <v>33</v>
      </c>
      <c r="F693" s="1" t="s">
        <v>53</v>
      </c>
      <c r="G693">
        <v>5504</v>
      </c>
      <c r="H693">
        <v>7</v>
      </c>
      <c r="I693">
        <v>19264</v>
      </c>
      <c r="J693">
        <v>404544</v>
      </c>
      <c r="K693" s="1" t="s">
        <v>137</v>
      </c>
      <c r="L693" s="2">
        <v>0.81874999999999998</v>
      </c>
      <c r="M693" s="1" t="s">
        <v>24</v>
      </c>
      <c r="N693">
        <v>38528</v>
      </c>
      <c r="O693">
        <v>4761904762</v>
      </c>
      <c r="P693">
        <v>19264</v>
      </c>
      <c r="Q693">
        <v>52</v>
      </c>
    </row>
    <row r="694" spans="1:17" x14ac:dyDescent="0.25">
      <c r="A694" s="1" t="s">
        <v>817</v>
      </c>
      <c r="B694" s="1" t="s">
        <v>18</v>
      </c>
      <c r="C694" s="1" t="s">
        <v>19</v>
      </c>
      <c r="D694" s="1" t="s">
        <v>20</v>
      </c>
      <c r="E694" s="1" t="s">
        <v>33</v>
      </c>
      <c r="F694" s="1" t="s">
        <v>22</v>
      </c>
      <c r="G694">
        <v>4863</v>
      </c>
      <c r="H694">
        <v>10</v>
      </c>
      <c r="I694">
        <v>24315</v>
      </c>
      <c r="J694">
        <v>510615</v>
      </c>
      <c r="K694" s="1" t="s">
        <v>111</v>
      </c>
      <c r="L694" s="2">
        <v>0.53055555555555556</v>
      </c>
      <c r="M694" s="1" t="s">
        <v>31</v>
      </c>
      <c r="N694">
        <v>4863</v>
      </c>
      <c r="O694">
        <v>4761904762</v>
      </c>
      <c r="P694">
        <v>24315</v>
      </c>
      <c r="Q694">
        <v>88</v>
      </c>
    </row>
    <row r="695" spans="1:17" x14ac:dyDescent="0.25">
      <c r="A695" s="1" t="s">
        <v>818</v>
      </c>
      <c r="B695" s="1" t="s">
        <v>26</v>
      </c>
      <c r="C695" s="1" t="s">
        <v>27</v>
      </c>
      <c r="D695" s="1" t="s">
        <v>20</v>
      </c>
      <c r="E695" s="1" t="s">
        <v>21</v>
      </c>
      <c r="F695" s="1" t="s">
        <v>56</v>
      </c>
      <c r="G695">
        <v>7338</v>
      </c>
      <c r="H695">
        <v>7</v>
      </c>
      <c r="I695">
        <v>25683</v>
      </c>
      <c r="J695">
        <v>539343</v>
      </c>
      <c r="K695" s="1" t="s">
        <v>119</v>
      </c>
      <c r="L695" s="2">
        <v>0.5805555555555556</v>
      </c>
      <c r="M695" s="1" t="s">
        <v>31</v>
      </c>
      <c r="N695">
        <v>51366</v>
      </c>
      <c r="O695">
        <v>4761904762</v>
      </c>
      <c r="P695">
        <v>25683</v>
      </c>
      <c r="Q695">
        <v>95</v>
      </c>
    </row>
    <row r="696" spans="1:17" x14ac:dyDescent="0.25">
      <c r="A696" s="1" t="s">
        <v>819</v>
      </c>
      <c r="B696" s="1" t="s">
        <v>26</v>
      </c>
      <c r="C696" s="1" t="s">
        <v>27</v>
      </c>
      <c r="D696" s="1" t="s">
        <v>28</v>
      </c>
      <c r="E696" s="1" t="s">
        <v>21</v>
      </c>
      <c r="F696" s="1" t="s">
        <v>53</v>
      </c>
      <c r="G696">
        <v>526</v>
      </c>
      <c r="H696">
        <v>9</v>
      </c>
      <c r="I696">
        <v>2367</v>
      </c>
      <c r="J696">
        <v>49707</v>
      </c>
      <c r="K696" s="1" t="s">
        <v>219</v>
      </c>
      <c r="L696" s="2">
        <v>0.61250000000000004</v>
      </c>
      <c r="M696" s="1" t="s">
        <v>31</v>
      </c>
      <c r="N696">
        <v>4734</v>
      </c>
      <c r="O696">
        <v>4761904762</v>
      </c>
      <c r="P696">
        <v>2367</v>
      </c>
      <c r="Q696">
        <v>76</v>
      </c>
    </row>
    <row r="697" spans="1:17" x14ac:dyDescent="0.25">
      <c r="A697" s="1" t="s">
        <v>820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34</v>
      </c>
      <c r="G697">
        <v>8737</v>
      </c>
      <c r="H697">
        <v>5</v>
      </c>
      <c r="I697">
        <v>218425</v>
      </c>
      <c r="J697">
        <v>4586925</v>
      </c>
      <c r="K697" s="1" t="s">
        <v>260</v>
      </c>
      <c r="L697" s="2">
        <v>0.82291666666666663</v>
      </c>
      <c r="M697" s="1" t="s">
        <v>31</v>
      </c>
      <c r="N697">
        <v>43685</v>
      </c>
      <c r="O697">
        <v>4761904762</v>
      </c>
      <c r="P697">
        <v>218425</v>
      </c>
      <c r="Q697">
        <v>66</v>
      </c>
    </row>
    <row r="698" spans="1:17" x14ac:dyDescent="0.25">
      <c r="A698" s="1" t="s">
        <v>821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40</v>
      </c>
      <c r="G698">
        <v>2704</v>
      </c>
      <c r="H698">
        <v>4</v>
      </c>
      <c r="I698">
        <v>5408</v>
      </c>
      <c r="J698">
        <v>113568</v>
      </c>
      <c r="K698" s="1" t="s">
        <v>71</v>
      </c>
      <c r="L698" s="2">
        <v>0.85138888888888886</v>
      </c>
      <c r="M698" s="1" t="s">
        <v>24</v>
      </c>
      <c r="N698">
        <v>10816</v>
      </c>
      <c r="O698">
        <v>4761904762</v>
      </c>
      <c r="P698">
        <v>5408</v>
      </c>
      <c r="Q698">
        <v>69</v>
      </c>
    </row>
    <row r="699" spans="1:17" x14ac:dyDescent="0.25">
      <c r="A699" s="1" t="s">
        <v>822</v>
      </c>
      <c r="B699" s="1" t="s">
        <v>51</v>
      </c>
      <c r="C699" s="1" t="s">
        <v>52</v>
      </c>
      <c r="D699" s="1" t="s">
        <v>28</v>
      </c>
      <c r="E699" s="1" t="s">
        <v>33</v>
      </c>
      <c r="F699" s="1" t="s">
        <v>34</v>
      </c>
      <c r="G699">
        <v>6219</v>
      </c>
      <c r="H699">
        <v>4</v>
      </c>
      <c r="I699">
        <v>12438</v>
      </c>
      <c r="J699">
        <v>261198</v>
      </c>
      <c r="K699" s="1" t="s">
        <v>154</v>
      </c>
      <c r="L699" s="2">
        <v>0.82361111111111107</v>
      </c>
      <c r="M699" s="1" t="s">
        <v>24</v>
      </c>
      <c r="N699">
        <v>24876</v>
      </c>
      <c r="O699">
        <v>4761904762</v>
      </c>
      <c r="P699">
        <v>12438</v>
      </c>
      <c r="Q699">
        <v>43</v>
      </c>
    </row>
    <row r="700" spans="1:17" x14ac:dyDescent="0.25">
      <c r="A700" s="1" t="s">
        <v>823</v>
      </c>
      <c r="B700" s="1" t="s">
        <v>18</v>
      </c>
      <c r="C700" s="1" t="s">
        <v>19</v>
      </c>
      <c r="D700" s="1" t="s">
        <v>20</v>
      </c>
      <c r="E700" s="1" t="s">
        <v>33</v>
      </c>
      <c r="F700" s="1" t="s">
        <v>29</v>
      </c>
      <c r="G700">
        <v>6958</v>
      </c>
      <c r="H700">
        <v>9</v>
      </c>
      <c r="I700">
        <v>31311</v>
      </c>
      <c r="J700">
        <v>657531</v>
      </c>
      <c r="K700" s="1" t="s">
        <v>489</v>
      </c>
      <c r="L700" s="2">
        <v>0.81805555555555554</v>
      </c>
      <c r="M700" s="1" t="s">
        <v>36</v>
      </c>
      <c r="N700">
        <v>62622</v>
      </c>
      <c r="O700">
        <v>4761904762</v>
      </c>
      <c r="P700">
        <v>31311</v>
      </c>
      <c r="Q700">
        <v>78</v>
      </c>
    </row>
    <row r="701" spans="1:17" x14ac:dyDescent="0.25">
      <c r="A701" s="1" t="s">
        <v>824</v>
      </c>
      <c r="B701" s="1" t="s">
        <v>26</v>
      </c>
      <c r="C701" s="1" t="s">
        <v>27</v>
      </c>
      <c r="D701" s="1" t="s">
        <v>28</v>
      </c>
      <c r="E701" s="1" t="s">
        <v>33</v>
      </c>
      <c r="F701" s="1" t="s">
        <v>34</v>
      </c>
      <c r="G701">
        <v>975</v>
      </c>
      <c r="H701">
        <v>10</v>
      </c>
      <c r="I701">
        <v>4875</v>
      </c>
      <c r="J701">
        <v>102375</v>
      </c>
      <c r="K701" s="1" t="s">
        <v>166</v>
      </c>
      <c r="L701" s="2">
        <v>0.6791666666666667</v>
      </c>
      <c r="M701" s="1" t="s">
        <v>24</v>
      </c>
      <c r="N701">
        <v>975</v>
      </c>
      <c r="O701">
        <v>4761904762</v>
      </c>
      <c r="P701">
        <v>4875</v>
      </c>
      <c r="Q701">
        <v>8</v>
      </c>
    </row>
    <row r="702" spans="1:17" x14ac:dyDescent="0.25">
      <c r="A702" s="1" t="s">
        <v>825</v>
      </c>
      <c r="B702" s="1" t="s">
        <v>26</v>
      </c>
      <c r="C702" s="1" t="s">
        <v>27</v>
      </c>
      <c r="D702" s="1" t="s">
        <v>28</v>
      </c>
      <c r="E702" s="1" t="s">
        <v>21</v>
      </c>
      <c r="F702" s="1" t="s">
        <v>56</v>
      </c>
      <c r="G702">
        <v>6041</v>
      </c>
      <c r="H702">
        <v>8</v>
      </c>
      <c r="I702">
        <v>24164</v>
      </c>
      <c r="J702">
        <v>507444</v>
      </c>
      <c r="K702" s="1" t="s">
        <v>63</v>
      </c>
      <c r="L702" s="2">
        <v>0.51597222222222228</v>
      </c>
      <c r="M702" s="1" t="s">
        <v>24</v>
      </c>
      <c r="N702">
        <v>48328</v>
      </c>
      <c r="O702">
        <v>4761904762</v>
      </c>
      <c r="P702">
        <v>24164</v>
      </c>
      <c r="Q702">
        <v>96</v>
      </c>
    </row>
    <row r="703" spans="1:17" x14ac:dyDescent="0.25">
      <c r="A703" s="1" t="s">
        <v>826</v>
      </c>
      <c r="B703" s="1" t="s">
        <v>51</v>
      </c>
      <c r="C703" s="1" t="s">
        <v>52</v>
      </c>
      <c r="D703" s="1" t="s">
        <v>28</v>
      </c>
      <c r="E703" s="1" t="s">
        <v>33</v>
      </c>
      <c r="F703" s="1" t="s">
        <v>53</v>
      </c>
      <c r="G703">
        <v>3232</v>
      </c>
      <c r="H703">
        <v>3</v>
      </c>
      <c r="I703">
        <v>4848</v>
      </c>
      <c r="J703">
        <v>101808</v>
      </c>
      <c r="K703" s="1" t="s">
        <v>132</v>
      </c>
      <c r="L703" s="2">
        <v>0.7993055555555556</v>
      </c>
      <c r="M703" s="1" t="s">
        <v>36</v>
      </c>
      <c r="N703">
        <v>9696</v>
      </c>
      <c r="O703">
        <v>4761904762</v>
      </c>
      <c r="P703">
        <v>4848</v>
      </c>
      <c r="Q703">
        <v>43</v>
      </c>
    </row>
    <row r="704" spans="1:17" x14ac:dyDescent="0.25">
      <c r="A704" s="1" t="s">
        <v>827</v>
      </c>
      <c r="B704" s="1" t="s">
        <v>51</v>
      </c>
      <c r="C704" s="1" t="s">
        <v>52</v>
      </c>
      <c r="D704" s="1" t="s">
        <v>20</v>
      </c>
      <c r="E704" s="1" t="s">
        <v>21</v>
      </c>
      <c r="F704" s="1" t="s">
        <v>56</v>
      </c>
      <c r="G704">
        <v>1977</v>
      </c>
      <c r="H704">
        <v>10</v>
      </c>
      <c r="I704">
        <v>9885</v>
      </c>
      <c r="J704">
        <v>207585</v>
      </c>
      <c r="K704" s="1" t="s">
        <v>116</v>
      </c>
      <c r="L704" s="2">
        <v>0.7895833333333333</v>
      </c>
      <c r="M704" s="1" t="s">
        <v>36</v>
      </c>
      <c r="N704">
        <v>1977</v>
      </c>
      <c r="O704">
        <v>4761904762</v>
      </c>
      <c r="P704">
        <v>9885</v>
      </c>
      <c r="Q704">
        <v>5</v>
      </c>
    </row>
    <row r="705" spans="1:17" x14ac:dyDescent="0.25">
      <c r="A705" s="1" t="s">
        <v>828</v>
      </c>
      <c r="B705" s="1" t="s">
        <v>51</v>
      </c>
      <c r="C705" s="1" t="s">
        <v>52</v>
      </c>
      <c r="D705" s="1" t="s">
        <v>20</v>
      </c>
      <c r="E705" s="1" t="s">
        <v>33</v>
      </c>
      <c r="F705" s="1" t="s">
        <v>22</v>
      </c>
      <c r="G705">
        <v>8047</v>
      </c>
      <c r="H705">
        <v>9</v>
      </c>
      <c r="I705">
        <v>362115</v>
      </c>
      <c r="J705">
        <v>7604415</v>
      </c>
      <c r="K705" s="1" t="s">
        <v>154</v>
      </c>
      <c r="L705" s="2">
        <v>0.47083333333333333</v>
      </c>
      <c r="M705" s="1" t="s">
        <v>31</v>
      </c>
      <c r="N705">
        <v>72423</v>
      </c>
      <c r="O705">
        <v>4761904762</v>
      </c>
      <c r="P705">
        <v>362115</v>
      </c>
      <c r="Q705">
        <v>92</v>
      </c>
    </row>
    <row r="706" spans="1:17" x14ac:dyDescent="0.25">
      <c r="A706" s="1" t="s">
        <v>829</v>
      </c>
      <c r="B706" s="1" t="s">
        <v>51</v>
      </c>
      <c r="C706" s="1" t="s">
        <v>52</v>
      </c>
      <c r="D706" s="1" t="s">
        <v>20</v>
      </c>
      <c r="E706" s="1" t="s">
        <v>21</v>
      </c>
      <c r="F706" s="1" t="s">
        <v>34</v>
      </c>
      <c r="G706">
        <v>8839</v>
      </c>
      <c r="H706">
        <v>9</v>
      </c>
      <c r="I706">
        <v>397755</v>
      </c>
      <c r="J706">
        <v>8352855</v>
      </c>
      <c r="K706" s="1" t="s">
        <v>83</v>
      </c>
      <c r="L706" s="2">
        <v>0.52777777777777779</v>
      </c>
      <c r="M706" s="1" t="s">
        <v>31</v>
      </c>
      <c r="N706">
        <v>79551</v>
      </c>
      <c r="O706">
        <v>4761904762</v>
      </c>
      <c r="P706">
        <v>397755</v>
      </c>
      <c r="Q706">
        <v>63</v>
      </c>
    </row>
    <row r="707" spans="1:17" x14ac:dyDescent="0.25">
      <c r="A707" s="1" t="s">
        <v>830</v>
      </c>
      <c r="B707" s="1" t="s">
        <v>51</v>
      </c>
      <c r="C707" s="1" t="s">
        <v>52</v>
      </c>
      <c r="D707" s="1" t="s">
        <v>28</v>
      </c>
      <c r="E707" s="1" t="s">
        <v>33</v>
      </c>
      <c r="F707" s="1" t="s">
        <v>22</v>
      </c>
      <c r="G707">
        <v>7177</v>
      </c>
      <c r="H707">
        <v>7</v>
      </c>
      <c r="I707">
        <v>251195</v>
      </c>
      <c r="J707">
        <v>5275095</v>
      </c>
      <c r="K707" s="1" t="s">
        <v>65</v>
      </c>
      <c r="L707" s="2">
        <v>0.58750000000000002</v>
      </c>
      <c r="M707" s="1" t="s">
        <v>31</v>
      </c>
      <c r="N707">
        <v>50239</v>
      </c>
      <c r="O707">
        <v>4761904762</v>
      </c>
      <c r="P707">
        <v>251195</v>
      </c>
      <c r="Q707">
        <v>89</v>
      </c>
    </row>
    <row r="708" spans="1:17" x14ac:dyDescent="0.25">
      <c r="A708" s="1" t="s">
        <v>831</v>
      </c>
      <c r="B708" s="1" t="s">
        <v>51</v>
      </c>
      <c r="C708" s="1" t="s">
        <v>52</v>
      </c>
      <c r="D708" s="1" t="s">
        <v>28</v>
      </c>
      <c r="E708" s="1" t="s">
        <v>21</v>
      </c>
      <c r="F708" s="1" t="s">
        <v>29</v>
      </c>
      <c r="G708">
        <v>43</v>
      </c>
      <c r="H708">
        <v>4</v>
      </c>
      <c r="I708">
        <v>86</v>
      </c>
      <c r="J708">
        <v>1806</v>
      </c>
      <c r="K708" s="1" t="s">
        <v>339</v>
      </c>
      <c r="L708" s="2">
        <v>0.8666666666666667</v>
      </c>
      <c r="M708" s="1" t="s">
        <v>24</v>
      </c>
      <c r="N708">
        <v>172</v>
      </c>
      <c r="O708">
        <v>4761904762</v>
      </c>
      <c r="P708">
        <v>86</v>
      </c>
      <c r="Q708">
        <v>76</v>
      </c>
    </row>
    <row r="709" spans="1:17" x14ac:dyDescent="0.25">
      <c r="A709" s="1" t="s">
        <v>832</v>
      </c>
      <c r="B709" s="1" t="s">
        <v>26</v>
      </c>
      <c r="C709" s="1" t="s">
        <v>27</v>
      </c>
      <c r="D709" s="1" t="s">
        <v>20</v>
      </c>
      <c r="E709" s="1" t="s">
        <v>33</v>
      </c>
      <c r="F709" s="1" t="s">
        <v>53</v>
      </c>
      <c r="G709">
        <v>6898</v>
      </c>
      <c r="H709">
        <v>1</v>
      </c>
      <c r="I709">
        <v>3449</v>
      </c>
      <c r="J709">
        <v>72429</v>
      </c>
      <c r="K709" s="1" t="s">
        <v>73</v>
      </c>
      <c r="L709" s="2">
        <v>0.84236111111111112</v>
      </c>
      <c r="M709" s="1" t="s">
        <v>31</v>
      </c>
      <c r="N709">
        <v>6898</v>
      </c>
      <c r="O709">
        <v>4761904762</v>
      </c>
      <c r="P709">
        <v>3449</v>
      </c>
      <c r="Q709">
        <v>48</v>
      </c>
    </row>
    <row r="710" spans="1:17" x14ac:dyDescent="0.25">
      <c r="A710" s="1" t="s">
        <v>833</v>
      </c>
      <c r="B710" s="1" t="s">
        <v>26</v>
      </c>
      <c r="C710" s="1" t="s">
        <v>27</v>
      </c>
      <c r="D710" s="1" t="s">
        <v>28</v>
      </c>
      <c r="E710" s="1" t="s">
        <v>33</v>
      </c>
      <c r="F710" s="1" t="s">
        <v>56</v>
      </c>
      <c r="G710">
        <v>1562</v>
      </c>
      <c r="H710">
        <v>8</v>
      </c>
      <c r="I710">
        <v>6248</v>
      </c>
      <c r="J710">
        <v>131208</v>
      </c>
      <c r="K710" s="1" t="s">
        <v>135</v>
      </c>
      <c r="L710" s="2">
        <v>0.85902777777777772</v>
      </c>
      <c r="M710" s="1" t="s">
        <v>24</v>
      </c>
      <c r="N710">
        <v>12496</v>
      </c>
      <c r="O710">
        <v>4761904762</v>
      </c>
      <c r="P710">
        <v>6248</v>
      </c>
      <c r="Q710">
        <v>91</v>
      </c>
    </row>
    <row r="711" spans="1:17" x14ac:dyDescent="0.25">
      <c r="A711" s="1" t="s">
        <v>834</v>
      </c>
      <c r="B711" s="1" t="s">
        <v>18</v>
      </c>
      <c r="C711" s="1" t="s">
        <v>19</v>
      </c>
      <c r="D711" s="1" t="s">
        <v>28</v>
      </c>
      <c r="E711" s="1" t="s">
        <v>33</v>
      </c>
      <c r="F711" s="1" t="s">
        <v>40</v>
      </c>
      <c r="G711">
        <v>257</v>
      </c>
      <c r="H711">
        <v>3</v>
      </c>
      <c r="I711">
        <v>3855</v>
      </c>
      <c r="J711">
        <v>80955</v>
      </c>
      <c r="K711" s="1" t="s">
        <v>106</v>
      </c>
      <c r="L711" s="2">
        <v>0.74930555555555556</v>
      </c>
      <c r="M711" s="1" t="s">
        <v>24</v>
      </c>
      <c r="N711">
        <v>771</v>
      </c>
      <c r="O711">
        <v>4761904762</v>
      </c>
      <c r="P711">
        <v>3855</v>
      </c>
      <c r="Q711">
        <v>61</v>
      </c>
    </row>
    <row r="712" spans="1:17" x14ac:dyDescent="0.25">
      <c r="A712" s="1" t="s">
        <v>835</v>
      </c>
      <c r="B712" s="1" t="s">
        <v>18</v>
      </c>
      <c r="C712" s="1" t="s">
        <v>19</v>
      </c>
      <c r="D712" s="1" t="s">
        <v>20</v>
      </c>
      <c r="E712" s="1" t="s">
        <v>33</v>
      </c>
      <c r="F712" s="1" t="s">
        <v>53</v>
      </c>
      <c r="G712">
        <v>8062</v>
      </c>
      <c r="H712">
        <v>6</v>
      </c>
      <c r="I712">
        <v>24186</v>
      </c>
      <c r="J712">
        <v>507906</v>
      </c>
      <c r="K712" s="1" t="s">
        <v>130</v>
      </c>
      <c r="L712" s="2">
        <v>0.84583333333333333</v>
      </c>
      <c r="M712" s="1" t="s">
        <v>31</v>
      </c>
      <c r="N712">
        <v>48372</v>
      </c>
      <c r="O712">
        <v>4761904762</v>
      </c>
      <c r="P712">
        <v>24186</v>
      </c>
      <c r="Q712">
        <v>91</v>
      </c>
    </row>
    <row r="713" spans="1:17" x14ac:dyDescent="0.25">
      <c r="A713" s="1" t="s">
        <v>836</v>
      </c>
      <c r="B713" s="1" t="s">
        <v>26</v>
      </c>
      <c r="C713" s="1" t="s">
        <v>27</v>
      </c>
      <c r="D713" s="1" t="s">
        <v>20</v>
      </c>
      <c r="E713" s="1" t="s">
        <v>21</v>
      </c>
      <c r="F713" s="1" t="s">
        <v>34</v>
      </c>
      <c r="G713">
        <v>7553</v>
      </c>
      <c r="H713">
        <v>4</v>
      </c>
      <c r="I713">
        <v>15106</v>
      </c>
      <c r="J713">
        <v>317226</v>
      </c>
      <c r="K713" s="1" t="s">
        <v>121</v>
      </c>
      <c r="L713" s="2">
        <v>0.66111111111111109</v>
      </c>
      <c r="M713" s="1" t="s">
        <v>24</v>
      </c>
      <c r="N713">
        <v>30212</v>
      </c>
      <c r="O713">
        <v>4761904762</v>
      </c>
      <c r="P713">
        <v>15106</v>
      </c>
      <c r="Q713">
        <v>83</v>
      </c>
    </row>
    <row r="714" spans="1:17" x14ac:dyDescent="0.25">
      <c r="A714" s="1" t="s">
        <v>837</v>
      </c>
      <c r="B714" s="1" t="s">
        <v>26</v>
      </c>
      <c r="C714" s="1" t="s">
        <v>27</v>
      </c>
      <c r="D714" s="1" t="s">
        <v>28</v>
      </c>
      <c r="E714" s="1" t="s">
        <v>21</v>
      </c>
      <c r="F714" s="1" t="s">
        <v>29</v>
      </c>
      <c r="G714">
        <v>7763</v>
      </c>
      <c r="H714">
        <v>9</v>
      </c>
      <c r="I714">
        <v>349335</v>
      </c>
      <c r="J714">
        <v>7336035</v>
      </c>
      <c r="K714" s="1" t="s">
        <v>489</v>
      </c>
      <c r="L714" s="2">
        <v>0.63472222222222219</v>
      </c>
      <c r="M714" s="1" t="s">
        <v>24</v>
      </c>
      <c r="N714">
        <v>69867</v>
      </c>
      <c r="O714">
        <v>4761904762</v>
      </c>
      <c r="P714">
        <v>349335</v>
      </c>
      <c r="Q714">
        <v>72</v>
      </c>
    </row>
    <row r="715" spans="1:17" x14ac:dyDescent="0.25">
      <c r="A715" s="1" t="s">
        <v>838</v>
      </c>
      <c r="B715" s="1" t="s">
        <v>26</v>
      </c>
      <c r="C715" s="1" t="s">
        <v>27</v>
      </c>
      <c r="D715" s="1" t="s">
        <v>28</v>
      </c>
      <c r="E715" s="1" t="s">
        <v>21</v>
      </c>
      <c r="F715" s="1" t="s">
        <v>22</v>
      </c>
      <c r="G715">
        <v>1385</v>
      </c>
      <c r="H715">
        <v>9</v>
      </c>
      <c r="I715">
        <v>62325</v>
      </c>
      <c r="J715">
        <v>1308825</v>
      </c>
      <c r="K715" s="1" t="s">
        <v>470</v>
      </c>
      <c r="L715" s="2">
        <v>0.53472222222222221</v>
      </c>
      <c r="M715" s="1" t="s">
        <v>24</v>
      </c>
      <c r="N715">
        <v>12465</v>
      </c>
      <c r="O715">
        <v>4761904762</v>
      </c>
      <c r="P715">
        <v>62325</v>
      </c>
      <c r="Q715">
        <v>6</v>
      </c>
    </row>
    <row r="716" spans="1:17" x14ac:dyDescent="0.25">
      <c r="A716" s="1" t="s">
        <v>839</v>
      </c>
      <c r="B716" s="1" t="s">
        <v>26</v>
      </c>
      <c r="C716" s="1" t="s">
        <v>27</v>
      </c>
      <c r="D716" s="1" t="s">
        <v>20</v>
      </c>
      <c r="E716" s="1" t="s">
        <v>33</v>
      </c>
      <c r="F716" s="1" t="s">
        <v>56</v>
      </c>
      <c r="G716">
        <v>987</v>
      </c>
      <c r="H716">
        <v>8</v>
      </c>
      <c r="I716">
        <v>3948</v>
      </c>
      <c r="J716">
        <v>82908</v>
      </c>
      <c r="K716" s="1" t="s">
        <v>339</v>
      </c>
      <c r="L716" s="2">
        <v>0.44166666666666665</v>
      </c>
      <c r="M716" s="1" t="s">
        <v>24</v>
      </c>
      <c r="N716">
        <v>7896</v>
      </c>
      <c r="O716">
        <v>4761904762</v>
      </c>
      <c r="P716">
        <v>3948</v>
      </c>
      <c r="Q716">
        <v>85</v>
      </c>
    </row>
    <row r="717" spans="1:17" x14ac:dyDescent="0.25">
      <c r="A717" s="1" t="s">
        <v>840</v>
      </c>
      <c r="B717" s="1" t="s">
        <v>18</v>
      </c>
      <c r="C717" s="1" t="s">
        <v>19</v>
      </c>
      <c r="D717" s="1" t="s">
        <v>28</v>
      </c>
      <c r="E717" s="1" t="s">
        <v>21</v>
      </c>
      <c r="F717" s="1" t="s">
        <v>22</v>
      </c>
      <c r="G717">
        <v>3568</v>
      </c>
      <c r="H717">
        <v>5</v>
      </c>
      <c r="I717">
        <v>892</v>
      </c>
      <c r="J717">
        <v>18732</v>
      </c>
      <c r="K717" s="1" t="s">
        <v>57</v>
      </c>
      <c r="L717" s="2">
        <v>0.7729166666666667</v>
      </c>
      <c r="M717" s="1" t="s">
        <v>36</v>
      </c>
      <c r="N717">
        <v>1784</v>
      </c>
      <c r="O717">
        <v>4761904762</v>
      </c>
      <c r="P717">
        <v>892</v>
      </c>
      <c r="Q717">
        <v>66</v>
      </c>
    </row>
    <row r="718" spans="1:17" x14ac:dyDescent="0.25">
      <c r="A718" s="1" t="s">
        <v>841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56</v>
      </c>
      <c r="G718">
        <v>7146</v>
      </c>
      <c r="H718">
        <v>7</v>
      </c>
      <c r="I718">
        <v>25011</v>
      </c>
      <c r="J718">
        <v>525231</v>
      </c>
      <c r="K718" s="1" t="s">
        <v>201</v>
      </c>
      <c r="L718" s="2">
        <v>0.67083333333333328</v>
      </c>
      <c r="M718" s="1" t="s">
        <v>24</v>
      </c>
      <c r="N718">
        <v>50022</v>
      </c>
      <c r="O718">
        <v>4761904762</v>
      </c>
      <c r="P718">
        <v>25011</v>
      </c>
      <c r="Q718">
        <v>45</v>
      </c>
    </row>
    <row r="719" spans="1:17" x14ac:dyDescent="0.25">
      <c r="A719" s="1" t="s">
        <v>842</v>
      </c>
      <c r="B719" s="1" t="s">
        <v>18</v>
      </c>
      <c r="C719" s="1" t="s">
        <v>19</v>
      </c>
      <c r="D719" s="1" t="s">
        <v>20</v>
      </c>
      <c r="E719" s="1" t="s">
        <v>33</v>
      </c>
      <c r="F719" s="1" t="s">
        <v>29</v>
      </c>
      <c r="G719">
        <v>1194</v>
      </c>
      <c r="H719">
        <v>3</v>
      </c>
      <c r="I719">
        <v>1791</v>
      </c>
      <c r="J719">
        <v>37611</v>
      </c>
      <c r="K719" s="1" t="s">
        <v>214</v>
      </c>
      <c r="L719" s="2">
        <v>0.53263888888888888</v>
      </c>
      <c r="M719" s="1" t="s">
        <v>36</v>
      </c>
      <c r="N719">
        <v>3582</v>
      </c>
      <c r="O719">
        <v>4761904762</v>
      </c>
      <c r="P719">
        <v>1791</v>
      </c>
      <c r="Q719">
        <v>81</v>
      </c>
    </row>
    <row r="720" spans="1:17" x14ac:dyDescent="0.25">
      <c r="A720" s="1" t="s">
        <v>843</v>
      </c>
      <c r="B720" s="1" t="s">
        <v>18</v>
      </c>
      <c r="C720" s="1" t="s">
        <v>19</v>
      </c>
      <c r="D720" s="1" t="s">
        <v>28</v>
      </c>
      <c r="E720" s="1" t="s">
        <v>33</v>
      </c>
      <c r="F720" s="1" t="s">
        <v>56</v>
      </c>
      <c r="G720">
        <v>4538</v>
      </c>
      <c r="H720">
        <v>3</v>
      </c>
      <c r="I720">
        <v>6807</v>
      </c>
      <c r="J720">
        <v>142947</v>
      </c>
      <c r="K720" s="1" t="s">
        <v>81</v>
      </c>
      <c r="L720" s="2">
        <v>0.56527777777777777</v>
      </c>
      <c r="M720" s="1" t="s">
        <v>36</v>
      </c>
      <c r="N720">
        <v>13614</v>
      </c>
      <c r="O720">
        <v>4761904762</v>
      </c>
      <c r="P720">
        <v>6807</v>
      </c>
      <c r="Q720">
        <v>72</v>
      </c>
    </row>
    <row r="721" spans="1:17" x14ac:dyDescent="0.25">
      <c r="A721" s="1" t="s">
        <v>844</v>
      </c>
      <c r="B721" s="1" t="s">
        <v>51</v>
      </c>
      <c r="C721" s="1" t="s">
        <v>52</v>
      </c>
      <c r="D721" s="1" t="s">
        <v>20</v>
      </c>
      <c r="E721" s="1" t="s">
        <v>21</v>
      </c>
      <c r="F721" s="1" t="s">
        <v>56</v>
      </c>
      <c r="G721">
        <v>1748</v>
      </c>
      <c r="H721">
        <v>6</v>
      </c>
      <c r="I721">
        <v>5244</v>
      </c>
      <c r="J721">
        <v>110124</v>
      </c>
      <c r="K721" s="1" t="s">
        <v>241</v>
      </c>
      <c r="L721" s="2">
        <v>0.62777777777777777</v>
      </c>
      <c r="M721" s="1" t="s">
        <v>36</v>
      </c>
      <c r="N721">
        <v>10488</v>
      </c>
      <c r="O721">
        <v>4761904762</v>
      </c>
      <c r="P721">
        <v>5244</v>
      </c>
      <c r="Q721">
        <v>61</v>
      </c>
    </row>
    <row r="722" spans="1:17" x14ac:dyDescent="0.25">
      <c r="A722" s="1" t="s">
        <v>845</v>
      </c>
      <c r="B722" s="1" t="s">
        <v>51</v>
      </c>
      <c r="C722" s="1" t="s">
        <v>52</v>
      </c>
      <c r="D722" s="1" t="s">
        <v>28</v>
      </c>
      <c r="E722" s="1" t="s">
        <v>21</v>
      </c>
      <c r="F722" s="1" t="s">
        <v>56</v>
      </c>
      <c r="G722">
        <v>2556</v>
      </c>
      <c r="H722">
        <v>7</v>
      </c>
      <c r="I722">
        <v>8946</v>
      </c>
      <c r="J722">
        <v>187866</v>
      </c>
      <c r="K722" s="1" t="s">
        <v>108</v>
      </c>
      <c r="L722" s="2">
        <v>0.86250000000000004</v>
      </c>
      <c r="M722" s="1" t="s">
        <v>31</v>
      </c>
      <c r="N722">
        <v>17892</v>
      </c>
      <c r="O722">
        <v>4761904762</v>
      </c>
      <c r="P722">
        <v>8946</v>
      </c>
      <c r="Q722">
        <v>71</v>
      </c>
    </row>
    <row r="723" spans="1:17" x14ac:dyDescent="0.25">
      <c r="A723" s="1" t="s">
        <v>846</v>
      </c>
      <c r="B723" s="1" t="s">
        <v>26</v>
      </c>
      <c r="C723" s="1" t="s">
        <v>27</v>
      </c>
      <c r="D723" s="1" t="s">
        <v>20</v>
      </c>
      <c r="E723" s="1" t="s">
        <v>21</v>
      </c>
      <c r="F723" s="1" t="s">
        <v>40</v>
      </c>
      <c r="G723">
        <v>9063</v>
      </c>
      <c r="H723">
        <v>9</v>
      </c>
      <c r="I723">
        <v>407835</v>
      </c>
      <c r="J723">
        <v>8564535</v>
      </c>
      <c r="K723" s="1" t="s">
        <v>241</v>
      </c>
      <c r="L723" s="2">
        <v>0.64444444444444449</v>
      </c>
      <c r="M723" s="1" t="s">
        <v>31</v>
      </c>
      <c r="N723">
        <v>81567</v>
      </c>
      <c r="O723">
        <v>4761904762</v>
      </c>
      <c r="P723">
        <v>407835</v>
      </c>
      <c r="Q723">
        <v>51</v>
      </c>
    </row>
    <row r="724" spans="1:17" x14ac:dyDescent="0.25">
      <c r="A724" s="1" t="s">
        <v>847</v>
      </c>
      <c r="B724" s="1" t="s">
        <v>51</v>
      </c>
      <c r="C724" s="1" t="s">
        <v>52</v>
      </c>
      <c r="D724" s="1" t="s">
        <v>28</v>
      </c>
      <c r="E724" s="1" t="s">
        <v>33</v>
      </c>
      <c r="F724" s="1" t="s">
        <v>34</v>
      </c>
      <c r="G724">
        <v>4412</v>
      </c>
      <c r="H724">
        <v>3</v>
      </c>
      <c r="I724">
        <v>6618</v>
      </c>
      <c r="J724">
        <v>138978</v>
      </c>
      <c r="K724" s="1" t="s">
        <v>323</v>
      </c>
      <c r="L724" s="2">
        <v>0.57291666666666663</v>
      </c>
      <c r="M724" s="1" t="s">
        <v>36</v>
      </c>
      <c r="N724">
        <v>13236</v>
      </c>
      <c r="O724">
        <v>4761904762</v>
      </c>
      <c r="P724">
        <v>6618</v>
      </c>
      <c r="Q724">
        <v>79</v>
      </c>
    </row>
    <row r="725" spans="1:17" x14ac:dyDescent="0.25">
      <c r="A725" s="1" t="s">
        <v>848</v>
      </c>
      <c r="B725" s="1" t="s">
        <v>26</v>
      </c>
      <c r="C725" s="1" t="s">
        <v>27</v>
      </c>
      <c r="D725" s="1" t="s">
        <v>20</v>
      </c>
      <c r="E725" s="1" t="s">
        <v>21</v>
      </c>
      <c r="F725" s="1" t="s">
        <v>53</v>
      </c>
      <c r="G725">
        <v>3677</v>
      </c>
      <c r="H725">
        <v>7</v>
      </c>
      <c r="I725">
        <v>128695</v>
      </c>
      <c r="J725">
        <v>2702595</v>
      </c>
      <c r="K725" s="1" t="s">
        <v>345</v>
      </c>
      <c r="L725" s="2">
        <v>0.84027777777777779</v>
      </c>
      <c r="M725" s="1" t="s">
        <v>31</v>
      </c>
      <c r="N725">
        <v>25739</v>
      </c>
      <c r="O725">
        <v>4761904762</v>
      </c>
      <c r="P725">
        <v>128695</v>
      </c>
      <c r="Q725">
        <v>74</v>
      </c>
    </row>
    <row r="726" spans="1:17" x14ac:dyDescent="0.25">
      <c r="A726" s="1" t="s">
        <v>849</v>
      </c>
      <c r="B726" s="1" t="s">
        <v>51</v>
      </c>
      <c r="C726" s="1" t="s">
        <v>52</v>
      </c>
      <c r="D726" s="1" t="s">
        <v>20</v>
      </c>
      <c r="E726" s="1" t="s">
        <v>33</v>
      </c>
      <c r="F726" s="1" t="s">
        <v>53</v>
      </c>
      <c r="G726">
        <v>2334</v>
      </c>
      <c r="H726">
        <v>4</v>
      </c>
      <c r="I726">
        <v>4668</v>
      </c>
      <c r="J726">
        <v>98028</v>
      </c>
      <c r="K726" s="1" t="s">
        <v>470</v>
      </c>
      <c r="L726" s="2">
        <v>0.78680555555555554</v>
      </c>
      <c r="M726" s="1" t="s">
        <v>24</v>
      </c>
      <c r="N726">
        <v>9336</v>
      </c>
      <c r="O726">
        <v>4761904762</v>
      </c>
      <c r="P726">
        <v>4668</v>
      </c>
      <c r="Q726">
        <v>74</v>
      </c>
    </row>
    <row r="727" spans="1:17" x14ac:dyDescent="0.25">
      <c r="A727" s="1" t="s">
        <v>850</v>
      </c>
      <c r="B727" s="1" t="s">
        <v>26</v>
      </c>
      <c r="C727" s="1" t="s">
        <v>27</v>
      </c>
      <c r="D727" s="1" t="s">
        <v>20</v>
      </c>
      <c r="E727" s="1" t="s">
        <v>21</v>
      </c>
      <c r="F727" s="1" t="s">
        <v>22</v>
      </c>
      <c r="G727">
        <v>285</v>
      </c>
      <c r="H727">
        <v>8</v>
      </c>
      <c r="I727">
        <v>114</v>
      </c>
      <c r="J727">
        <v>2394</v>
      </c>
      <c r="K727" s="1" t="s">
        <v>57</v>
      </c>
      <c r="L727" s="2">
        <v>0.6</v>
      </c>
      <c r="M727" s="1" t="s">
        <v>31</v>
      </c>
      <c r="N727">
        <v>228</v>
      </c>
      <c r="O727">
        <v>4761904762</v>
      </c>
      <c r="P727">
        <v>114</v>
      </c>
      <c r="Q727">
        <v>66</v>
      </c>
    </row>
    <row r="728" spans="1:17" x14ac:dyDescent="0.25">
      <c r="A728" s="1" t="s">
        <v>851</v>
      </c>
      <c r="B728" s="1" t="s">
        <v>26</v>
      </c>
      <c r="C728" s="1" t="s">
        <v>27</v>
      </c>
      <c r="D728" s="1" t="s">
        <v>20</v>
      </c>
      <c r="E728" s="1" t="s">
        <v>33</v>
      </c>
      <c r="F728" s="1" t="s">
        <v>34</v>
      </c>
      <c r="G728">
        <v>5557</v>
      </c>
      <c r="H728">
        <v>3</v>
      </c>
      <c r="I728">
        <v>83355</v>
      </c>
      <c r="J728">
        <v>1750455</v>
      </c>
      <c r="K728" s="1" t="s">
        <v>230</v>
      </c>
      <c r="L728" s="2">
        <v>0.48749999999999999</v>
      </c>
      <c r="M728" s="1" t="s">
        <v>36</v>
      </c>
      <c r="N728">
        <v>16671</v>
      </c>
      <c r="O728">
        <v>4761904762</v>
      </c>
      <c r="P728">
        <v>83355</v>
      </c>
      <c r="Q728">
        <v>59</v>
      </c>
    </row>
    <row r="729" spans="1:17" x14ac:dyDescent="0.25">
      <c r="A729" s="1" t="s">
        <v>852</v>
      </c>
      <c r="B729" s="1" t="s">
        <v>51</v>
      </c>
      <c r="C729" s="1" t="s">
        <v>52</v>
      </c>
      <c r="D729" s="1" t="s">
        <v>28</v>
      </c>
      <c r="E729" s="1" t="s">
        <v>33</v>
      </c>
      <c r="F729" s="1" t="s">
        <v>40</v>
      </c>
      <c r="G729">
        <v>6974</v>
      </c>
      <c r="H729">
        <v>10</v>
      </c>
      <c r="I729">
        <v>3487</v>
      </c>
      <c r="J729">
        <v>73227</v>
      </c>
      <c r="K729" s="1" t="s">
        <v>77</v>
      </c>
      <c r="L729" s="2">
        <v>0.74236111111111114</v>
      </c>
      <c r="M729" s="1" t="s">
        <v>36</v>
      </c>
      <c r="N729">
        <v>6974</v>
      </c>
      <c r="O729">
        <v>4761904762</v>
      </c>
      <c r="P729">
        <v>3487</v>
      </c>
      <c r="Q729">
        <v>89</v>
      </c>
    </row>
    <row r="730" spans="1:17" x14ac:dyDescent="0.25">
      <c r="A730" s="1" t="s">
        <v>853</v>
      </c>
      <c r="B730" s="1" t="s">
        <v>26</v>
      </c>
      <c r="C730" s="1" t="s">
        <v>27</v>
      </c>
      <c r="D730" s="1" t="s">
        <v>28</v>
      </c>
      <c r="E730" s="1" t="s">
        <v>33</v>
      </c>
      <c r="F730" s="1" t="s">
        <v>56</v>
      </c>
      <c r="G730">
        <v>9726</v>
      </c>
      <c r="H730">
        <v>4</v>
      </c>
      <c r="I730">
        <v>19452</v>
      </c>
      <c r="J730">
        <v>408492</v>
      </c>
      <c r="K730" s="1" t="s">
        <v>113</v>
      </c>
      <c r="L730" s="2">
        <v>0.6479166666666667</v>
      </c>
      <c r="M730" s="1" t="s">
        <v>24</v>
      </c>
      <c r="N730">
        <v>38904</v>
      </c>
      <c r="O730">
        <v>4761904762</v>
      </c>
      <c r="P730">
        <v>19452</v>
      </c>
      <c r="Q730">
        <v>68</v>
      </c>
    </row>
    <row r="731" spans="1:17" x14ac:dyDescent="0.25">
      <c r="A731" s="1" t="s">
        <v>854</v>
      </c>
      <c r="B731" s="1" t="s">
        <v>51</v>
      </c>
      <c r="C731" s="1" t="s">
        <v>52</v>
      </c>
      <c r="D731" s="1" t="s">
        <v>20</v>
      </c>
      <c r="E731" s="1" t="s">
        <v>21</v>
      </c>
      <c r="F731" s="1" t="s">
        <v>34</v>
      </c>
      <c r="G731">
        <v>5218</v>
      </c>
      <c r="H731">
        <v>7</v>
      </c>
      <c r="I731">
        <v>18263</v>
      </c>
      <c r="J731">
        <v>383523</v>
      </c>
      <c r="K731" s="1" t="s">
        <v>59</v>
      </c>
      <c r="L731" s="2">
        <v>0.45416666666666666</v>
      </c>
      <c r="M731" s="1" t="s">
        <v>31</v>
      </c>
      <c r="N731">
        <v>36526</v>
      </c>
      <c r="O731">
        <v>4761904762</v>
      </c>
      <c r="P731">
        <v>18263</v>
      </c>
      <c r="Q731">
        <v>93</v>
      </c>
    </row>
    <row r="732" spans="1:17" x14ac:dyDescent="0.25">
      <c r="A732" s="1" t="s">
        <v>855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56</v>
      </c>
      <c r="G732">
        <v>2232</v>
      </c>
      <c r="H732">
        <v>4</v>
      </c>
      <c r="I732">
        <v>4464</v>
      </c>
      <c r="J732">
        <v>93744</v>
      </c>
      <c r="K732" s="1" t="s">
        <v>197</v>
      </c>
      <c r="L732" s="2">
        <v>0.68263888888888891</v>
      </c>
      <c r="M732" s="1" t="s">
        <v>36</v>
      </c>
      <c r="N732">
        <v>8928</v>
      </c>
      <c r="O732">
        <v>4761904762</v>
      </c>
      <c r="P732">
        <v>4464</v>
      </c>
      <c r="Q732">
        <v>44</v>
      </c>
    </row>
    <row r="733" spans="1:17" x14ac:dyDescent="0.25">
      <c r="A733" s="1" t="s">
        <v>856</v>
      </c>
      <c r="B733" s="1" t="s">
        <v>18</v>
      </c>
      <c r="C733" s="1" t="s">
        <v>19</v>
      </c>
      <c r="D733" s="1" t="s">
        <v>28</v>
      </c>
      <c r="E733" s="1" t="s">
        <v>33</v>
      </c>
      <c r="F733" s="1" t="s">
        <v>22</v>
      </c>
      <c r="G733">
        <v>56</v>
      </c>
      <c r="H733">
        <v>3</v>
      </c>
      <c r="I733">
        <v>84</v>
      </c>
      <c r="J733">
        <v>1764</v>
      </c>
      <c r="K733" s="1" t="s">
        <v>130</v>
      </c>
      <c r="L733" s="2">
        <v>0.81458333333333333</v>
      </c>
      <c r="M733" s="1" t="s">
        <v>24</v>
      </c>
      <c r="N733">
        <v>168</v>
      </c>
      <c r="O733">
        <v>4761904762</v>
      </c>
      <c r="P733">
        <v>84</v>
      </c>
      <c r="Q733">
        <v>48</v>
      </c>
    </row>
    <row r="734" spans="1:17" x14ac:dyDescent="0.25">
      <c r="A734" s="1" t="s">
        <v>857</v>
      </c>
      <c r="B734" s="1" t="s">
        <v>18</v>
      </c>
      <c r="C734" s="1" t="s">
        <v>19</v>
      </c>
      <c r="D734" s="1" t="s">
        <v>20</v>
      </c>
      <c r="E734" s="1" t="s">
        <v>33</v>
      </c>
      <c r="F734" s="1" t="s">
        <v>56</v>
      </c>
      <c r="G734">
        <v>197</v>
      </c>
      <c r="H734">
        <v>1</v>
      </c>
      <c r="I734">
        <v>985</v>
      </c>
      <c r="J734">
        <v>20685</v>
      </c>
      <c r="K734" s="1" t="s">
        <v>41</v>
      </c>
      <c r="L734" s="2">
        <v>0.48541666666666666</v>
      </c>
      <c r="M734" s="1" t="s">
        <v>24</v>
      </c>
      <c r="N734">
        <v>197</v>
      </c>
      <c r="O734">
        <v>4761904762</v>
      </c>
      <c r="P734">
        <v>985</v>
      </c>
      <c r="Q734">
        <v>95</v>
      </c>
    </row>
    <row r="735" spans="1:17" x14ac:dyDescent="0.25">
      <c r="A735" s="1" t="s">
        <v>858</v>
      </c>
      <c r="B735" s="1" t="s">
        <v>51</v>
      </c>
      <c r="C735" s="1" t="s">
        <v>52</v>
      </c>
      <c r="D735" s="1" t="s">
        <v>28</v>
      </c>
      <c r="E735" s="1" t="s">
        <v>33</v>
      </c>
      <c r="F735" s="1" t="s">
        <v>29</v>
      </c>
      <c r="G735">
        <v>7588</v>
      </c>
      <c r="H735">
        <v>7</v>
      </c>
      <c r="I735">
        <v>26558</v>
      </c>
      <c r="J735">
        <v>557718</v>
      </c>
      <c r="K735" s="1" t="s">
        <v>151</v>
      </c>
      <c r="L735" s="2">
        <v>0.44305555555555554</v>
      </c>
      <c r="M735" s="1" t="s">
        <v>24</v>
      </c>
      <c r="N735">
        <v>53116</v>
      </c>
      <c r="O735">
        <v>4761904762</v>
      </c>
      <c r="P735">
        <v>26558</v>
      </c>
      <c r="Q735">
        <v>89</v>
      </c>
    </row>
    <row r="736" spans="1:17" x14ac:dyDescent="0.25">
      <c r="A736" s="1" t="s">
        <v>859</v>
      </c>
      <c r="B736" s="1" t="s">
        <v>51</v>
      </c>
      <c r="C736" s="1" t="s">
        <v>52</v>
      </c>
      <c r="D736" s="1" t="s">
        <v>20</v>
      </c>
      <c r="E736" s="1" t="s">
        <v>33</v>
      </c>
      <c r="F736" s="1" t="s">
        <v>53</v>
      </c>
      <c r="G736">
        <v>5372</v>
      </c>
      <c r="H736">
        <v>1</v>
      </c>
      <c r="I736">
        <v>2686</v>
      </c>
      <c r="J736">
        <v>56406</v>
      </c>
      <c r="K736" s="1" t="s">
        <v>197</v>
      </c>
      <c r="L736" s="2">
        <v>0.8354166666666667</v>
      </c>
      <c r="M736" s="1" t="s">
        <v>24</v>
      </c>
      <c r="N736">
        <v>5372</v>
      </c>
      <c r="O736">
        <v>4761904762</v>
      </c>
      <c r="P736">
        <v>2686</v>
      </c>
      <c r="Q736">
        <v>64</v>
      </c>
    </row>
    <row r="737" spans="1:17" x14ac:dyDescent="0.25">
      <c r="A737" s="1" t="s">
        <v>860</v>
      </c>
      <c r="B737" s="1" t="s">
        <v>26</v>
      </c>
      <c r="C737" s="1" t="s">
        <v>27</v>
      </c>
      <c r="D737" s="1" t="s">
        <v>20</v>
      </c>
      <c r="E737" s="1" t="s">
        <v>33</v>
      </c>
      <c r="F737" s="1" t="s">
        <v>22</v>
      </c>
      <c r="G737">
        <v>8195</v>
      </c>
      <c r="H737">
        <v>10</v>
      </c>
      <c r="I737">
        <v>40975</v>
      </c>
      <c r="J737">
        <v>860475</v>
      </c>
      <c r="K737" s="1" t="s">
        <v>88</v>
      </c>
      <c r="L737" s="2">
        <v>0.52708333333333335</v>
      </c>
      <c r="M737" s="1" t="s">
        <v>36</v>
      </c>
      <c r="N737">
        <v>8195</v>
      </c>
      <c r="O737">
        <v>4761904762</v>
      </c>
      <c r="P737">
        <v>40975</v>
      </c>
      <c r="Q737">
        <v>6</v>
      </c>
    </row>
    <row r="738" spans="1:17" x14ac:dyDescent="0.25">
      <c r="A738" s="1" t="s">
        <v>861</v>
      </c>
      <c r="B738" s="1" t="s">
        <v>26</v>
      </c>
      <c r="C738" s="1" t="s">
        <v>27</v>
      </c>
      <c r="D738" s="1" t="s">
        <v>20</v>
      </c>
      <c r="E738" s="1" t="s">
        <v>21</v>
      </c>
      <c r="F738" s="1" t="s">
        <v>34</v>
      </c>
      <c r="G738">
        <v>812</v>
      </c>
      <c r="H738">
        <v>7</v>
      </c>
      <c r="I738">
        <v>2842</v>
      </c>
      <c r="J738">
        <v>59682</v>
      </c>
      <c r="K738" s="1" t="s">
        <v>103</v>
      </c>
      <c r="L738" s="2">
        <v>0.66597222222222219</v>
      </c>
      <c r="M738" s="1" t="s">
        <v>36</v>
      </c>
      <c r="N738">
        <v>5684</v>
      </c>
      <c r="O738">
        <v>4761904762</v>
      </c>
      <c r="P738">
        <v>2842</v>
      </c>
      <c r="Q738">
        <v>81</v>
      </c>
    </row>
    <row r="739" spans="1:17" x14ac:dyDescent="0.25">
      <c r="A739" s="1" t="s">
        <v>862</v>
      </c>
      <c r="B739" s="1" t="s">
        <v>26</v>
      </c>
      <c r="C739" s="1" t="s">
        <v>27</v>
      </c>
      <c r="D739" s="1" t="s">
        <v>28</v>
      </c>
      <c r="E739" s="1" t="s">
        <v>33</v>
      </c>
      <c r="F739" s="1" t="s">
        <v>29</v>
      </c>
      <c r="G739">
        <v>5876</v>
      </c>
      <c r="H739">
        <v>10</v>
      </c>
      <c r="I739">
        <v>2938</v>
      </c>
      <c r="J739">
        <v>61698</v>
      </c>
      <c r="K739" s="1" t="s">
        <v>260</v>
      </c>
      <c r="L739" s="2">
        <v>0.60138888888888886</v>
      </c>
      <c r="M739" s="1" t="s">
        <v>24</v>
      </c>
      <c r="N739">
        <v>5876</v>
      </c>
      <c r="O739">
        <v>4761904762</v>
      </c>
      <c r="P739">
        <v>2938</v>
      </c>
      <c r="Q739">
        <v>9</v>
      </c>
    </row>
    <row r="740" spans="1:17" x14ac:dyDescent="0.25">
      <c r="A740" s="1" t="s">
        <v>863</v>
      </c>
      <c r="B740" s="1" t="s">
        <v>51</v>
      </c>
      <c r="C740" s="1" t="s">
        <v>52</v>
      </c>
      <c r="D740" s="1" t="s">
        <v>20</v>
      </c>
      <c r="E740" s="1" t="s">
        <v>33</v>
      </c>
      <c r="F740" s="1" t="s">
        <v>29</v>
      </c>
      <c r="G740">
        <v>9156</v>
      </c>
      <c r="H740">
        <v>8</v>
      </c>
      <c r="I740">
        <v>36624</v>
      </c>
      <c r="J740">
        <v>769104</v>
      </c>
      <c r="K740" s="1" t="s">
        <v>166</v>
      </c>
      <c r="L740" s="2">
        <v>0.76527777777777772</v>
      </c>
      <c r="M740" s="1" t="s">
        <v>24</v>
      </c>
      <c r="N740">
        <v>73248</v>
      </c>
      <c r="O740">
        <v>4761904762</v>
      </c>
      <c r="P740">
        <v>36624</v>
      </c>
      <c r="Q740">
        <v>6</v>
      </c>
    </row>
    <row r="741" spans="1:17" x14ac:dyDescent="0.25">
      <c r="A741" s="1" t="s">
        <v>864</v>
      </c>
      <c r="B741" s="1" t="s">
        <v>18</v>
      </c>
      <c r="C741" s="1" t="s">
        <v>19</v>
      </c>
      <c r="D741" s="1" t="s">
        <v>28</v>
      </c>
      <c r="E741" s="1" t="s">
        <v>33</v>
      </c>
      <c r="F741" s="1" t="s">
        <v>34</v>
      </c>
      <c r="G741">
        <v>9396</v>
      </c>
      <c r="H741">
        <v>9</v>
      </c>
      <c r="I741">
        <v>42282</v>
      </c>
      <c r="J741">
        <v>887922</v>
      </c>
      <c r="K741" s="1" t="s">
        <v>329</v>
      </c>
      <c r="L741" s="2">
        <v>0.48055555555555557</v>
      </c>
      <c r="M741" s="1" t="s">
        <v>31</v>
      </c>
      <c r="N741">
        <v>84564</v>
      </c>
      <c r="O741">
        <v>4761904762</v>
      </c>
      <c r="P741">
        <v>42282</v>
      </c>
      <c r="Q741">
        <v>98</v>
      </c>
    </row>
    <row r="742" spans="1:17" x14ac:dyDescent="0.25">
      <c r="A742" s="1" t="s">
        <v>865</v>
      </c>
      <c r="B742" s="1" t="s">
        <v>26</v>
      </c>
      <c r="C742" s="1" t="s">
        <v>27</v>
      </c>
      <c r="D742" s="1" t="s">
        <v>28</v>
      </c>
      <c r="E742" s="1" t="s">
        <v>33</v>
      </c>
      <c r="F742" s="1" t="s">
        <v>34</v>
      </c>
      <c r="G742">
        <v>5561</v>
      </c>
      <c r="H742">
        <v>7</v>
      </c>
      <c r="I742">
        <v>194635</v>
      </c>
      <c r="J742">
        <v>4087335</v>
      </c>
      <c r="K742" s="1" t="s">
        <v>103</v>
      </c>
      <c r="L742" s="2">
        <v>0.52847222222222223</v>
      </c>
      <c r="M742" s="1" t="s">
        <v>31</v>
      </c>
      <c r="N742">
        <v>38927</v>
      </c>
      <c r="O742">
        <v>4761904762</v>
      </c>
      <c r="P742">
        <v>194635</v>
      </c>
      <c r="Q742">
        <v>85</v>
      </c>
    </row>
    <row r="743" spans="1:17" x14ac:dyDescent="0.25">
      <c r="A743" s="1" t="s">
        <v>866</v>
      </c>
      <c r="B743" s="1" t="s">
        <v>26</v>
      </c>
      <c r="C743" s="1" t="s">
        <v>27</v>
      </c>
      <c r="D743" s="1" t="s">
        <v>28</v>
      </c>
      <c r="E743" s="1" t="s">
        <v>33</v>
      </c>
      <c r="F743" s="1" t="s">
        <v>53</v>
      </c>
      <c r="G743">
        <v>8483</v>
      </c>
      <c r="H743">
        <v>1</v>
      </c>
      <c r="I743">
        <v>42415</v>
      </c>
      <c r="J743">
        <v>890715</v>
      </c>
      <c r="K743" s="1" t="s">
        <v>317</v>
      </c>
      <c r="L743" s="2">
        <v>0.63888888888888884</v>
      </c>
      <c r="M743" s="1" t="s">
        <v>24</v>
      </c>
      <c r="N743">
        <v>8483</v>
      </c>
      <c r="O743">
        <v>4761904762</v>
      </c>
      <c r="P743">
        <v>42415</v>
      </c>
      <c r="Q743">
        <v>88</v>
      </c>
    </row>
    <row r="744" spans="1:17" x14ac:dyDescent="0.25">
      <c r="A744" s="1" t="s">
        <v>867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40</v>
      </c>
      <c r="G744">
        <v>7163</v>
      </c>
      <c r="H744">
        <v>2</v>
      </c>
      <c r="I744">
        <v>7163</v>
      </c>
      <c r="J744">
        <v>150423</v>
      </c>
      <c r="K744" s="1" t="s">
        <v>61</v>
      </c>
      <c r="L744" s="2">
        <v>0.60624999999999996</v>
      </c>
      <c r="M744" s="1" t="s">
        <v>24</v>
      </c>
      <c r="N744">
        <v>14326</v>
      </c>
      <c r="O744">
        <v>4761904762</v>
      </c>
      <c r="P744">
        <v>7163</v>
      </c>
      <c r="Q744">
        <v>88</v>
      </c>
    </row>
    <row r="745" spans="1:17" x14ac:dyDescent="0.25">
      <c r="A745" s="1" t="s">
        <v>868</v>
      </c>
      <c r="B745" s="1" t="s">
        <v>18</v>
      </c>
      <c r="C745" s="1" t="s">
        <v>19</v>
      </c>
      <c r="D745" s="1" t="s">
        <v>20</v>
      </c>
      <c r="E745" s="1" t="s">
        <v>33</v>
      </c>
      <c r="F745" s="1" t="s">
        <v>34</v>
      </c>
      <c r="G745">
        <v>3769</v>
      </c>
      <c r="H745">
        <v>2</v>
      </c>
      <c r="I745">
        <v>3769</v>
      </c>
      <c r="J745">
        <v>79149</v>
      </c>
      <c r="K745" s="1" t="s">
        <v>54</v>
      </c>
      <c r="L745" s="2">
        <v>0.64513888888888893</v>
      </c>
      <c r="M745" s="1" t="s">
        <v>24</v>
      </c>
      <c r="N745">
        <v>7538</v>
      </c>
      <c r="O745">
        <v>4761904762</v>
      </c>
      <c r="P745">
        <v>3769</v>
      </c>
      <c r="Q745">
        <v>95</v>
      </c>
    </row>
    <row r="746" spans="1:17" x14ac:dyDescent="0.25">
      <c r="A746" s="1" t="s">
        <v>869</v>
      </c>
      <c r="B746" s="1" t="s">
        <v>26</v>
      </c>
      <c r="C746" s="1" t="s">
        <v>27</v>
      </c>
      <c r="D746" s="1" t="s">
        <v>20</v>
      </c>
      <c r="E746" s="1" t="s">
        <v>21</v>
      </c>
      <c r="F746" s="1" t="s">
        <v>40</v>
      </c>
      <c r="G746">
        <v>3167</v>
      </c>
      <c r="H746">
        <v>8</v>
      </c>
      <c r="I746">
        <v>12668</v>
      </c>
      <c r="J746">
        <v>266028</v>
      </c>
      <c r="K746" s="1" t="s">
        <v>181</v>
      </c>
      <c r="L746" s="2">
        <v>0.67986111111111114</v>
      </c>
      <c r="M746" s="1" t="s">
        <v>36</v>
      </c>
      <c r="N746">
        <v>25336</v>
      </c>
      <c r="O746">
        <v>4761904762</v>
      </c>
      <c r="P746">
        <v>12668</v>
      </c>
      <c r="Q746">
        <v>56</v>
      </c>
    </row>
    <row r="747" spans="1:17" x14ac:dyDescent="0.25">
      <c r="A747" s="1" t="s">
        <v>870</v>
      </c>
      <c r="B747" s="1" t="s">
        <v>26</v>
      </c>
      <c r="C747" s="1" t="s">
        <v>27</v>
      </c>
      <c r="D747" s="1" t="s">
        <v>20</v>
      </c>
      <c r="E747" s="1" t="s">
        <v>21</v>
      </c>
      <c r="F747" s="1" t="s">
        <v>53</v>
      </c>
      <c r="G747">
        <v>3842</v>
      </c>
      <c r="H747">
        <v>1</v>
      </c>
      <c r="I747">
        <v>1921</v>
      </c>
      <c r="J747">
        <v>40341</v>
      </c>
      <c r="K747" s="1" t="s">
        <v>108</v>
      </c>
      <c r="L747" s="2">
        <v>0.68958333333333333</v>
      </c>
      <c r="M747" s="1" t="s">
        <v>31</v>
      </c>
      <c r="N747">
        <v>3842</v>
      </c>
      <c r="O747">
        <v>4761904762</v>
      </c>
      <c r="P747">
        <v>1921</v>
      </c>
      <c r="Q747">
        <v>86</v>
      </c>
    </row>
    <row r="748" spans="1:17" x14ac:dyDescent="0.25">
      <c r="A748" s="1" t="s">
        <v>871</v>
      </c>
      <c r="B748" s="1" t="s">
        <v>51</v>
      </c>
      <c r="C748" s="1" t="s">
        <v>52</v>
      </c>
      <c r="D748" s="1" t="s">
        <v>20</v>
      </c>
      <c r="E748" s="1" t="s">
        <v>33</v>
      </c>
      <c r="F748" s="1" t="s">
        <v>56</v>
      </c>
      <c r="G748">
        <v>6523</v>
      </c>
      <c r="H748">
        <v>10</v>
      </c>
      <c r="I748">
        <v>32615</v>
      </c>
      <c r="J748">
        <v>684915</v>
      </c>
      <c r="K748" s="1" t="s">
        <v>230</v>
      </c>
      <c r="L748" s="2">
        <v>0.79652777777777772</v>
      </c>
      <c r="M748" s="1" t="s">
        <v>36</v>
      </c>
      <c r="N748">
        <v>6523</v>
      </c>
      <c r="O748">
        <v>4761904762</v>
      </c>
      <c r="P748">
        <v>32615</v>
      </c>
      <c r="Q748">
        <v>52</v>
      </c>
    </row>
    <row r="749" spans="1:17" x14ac:dyDescent="0.25">
      <c r="A749" s="1" t="s">
        <v>872</v>
      </c>
      <c r="B749" s="1" t="s">
        <v>26</v>
      </c>
      <c r="C749" s="1" t="s">
        <v>27</v>
      </c>
      <c r="D749" s="1" t="s">
        <v>20</v>
      </c>
      <c r="E749" s="1" t="s">
        <v>21</v>
      </c>
      <c r="F749" s="1" t="s">
        <v>34</v>
      </c>
      <c r="G749">
        <v>1053</v>
      </c>
      <c r="H749">
        <v>5</v>
      </c>
      <c r="I749">
        <v>26325</v>
      </c>
      <c r="J749">
        <v>552825</v>
      </c>
      <c r="K749" s="1" t="s">
        <v>274</v>
      </c>
      <c r="L749" s="2">
        <v>0.61319444444444449</v>
      </c>
      <c r="M749" s="1" t="s">
        <v>36</v>
      </c>
      <c r="N749">
        <v>5265</v>
      </c>
      <c r="O749">
        <v>4761904762</v>
      </c>
      <c r="P749">
        <v>26325</v>
      </c>
      <c r="Q749">
        <v>58</v>
      </c>
    </row>
    <row r="750" spans="1:17" x14ac:dyDescent="0.25">
      <c r="A750" s="1" t="s">
        <v>873</v>
      </c>
      <c r="B750" s="1" t="s">
        <v>51</v>
      </c>
      <c r="C750" s="1" t="s">
        <v>52</v>
      </c>
      <c r="D750" s="1" t="s">
        <v>20</v>
      </c>
      <c r="E750" s="1" t="s">
        <v>21</v>
      </c>
      <c r="F750" s="1" t="s">
        <v>34</v>
      </c>
      <c r="G750">
        <v>1229</v>
      </c>
      <c r="H750">
        <v>9</v>
      </c>
      <c r="I750">
        <v>55305</v>
      </c>
      <c r="J750">
        <v>1161405</v>
      </c>
      <c r="K750" s="1" t="s">
        <v>195</v>
      </c>
      <c r="L750" s="2">
        <v>0.81111111111111112</v>
      </c>
      <c r="M750" s="1" t="s">
        <v>36</v>
      </c>
      <c r="N750">
        <v>11061</v>
      </c>
      <c r="O750">
        <v>4761904762</v>
      </c>
      <c r="P750">
        <v>55305</v>
      </c>
      <c r="Q750">
        <v>8</v>
      </c>
    </row>
    <row r="751" spans="1:17" x14ac:dyDescent="0.25">
      <c r="A751" s="1" t="s">
        <v>874</v>
      </c>
      <c r="B751" s="1" t="s">
        <v>26</v>
      </c>
      <c r="C751" s="1" t="s">
        <v>27</v>
      </c>
      <c r="D751" s="1" t="s">
        <v>20</v>
      </c>
      <c r="E751" s="1" t="s">
        <v>33</v>
      </c>
      <c r="F751" s="1" t="s">
        <v>22</v>
      </c>
      <c r="G751">
        <v>8123</v>
      </c>
      <c r="H751">
        <v>7</v>
      </c>
      <c r="I751">
        <v>284305</v>
      </c>
      <c r="J751">
        <v>5970405</v>
      </c>
      <c r="K751" s="1" t="s">
        <v>67</v>
      </c>
      <c r="L751" s="2">
        <v>0.86388888888888893</v>
      </c>
      <c r="M751" s="1" t="s">
        <v>31</v>
      </c>
      <c r="N751">
        <v>56861</v>
      </c>
      <c r="O751">
        <v>4761904762</v>
      </c>
      <c r="P751">
        <v>284305</v>
      </c>
      <c r="Q751">
        <v>9</v>
      </c>
    </row>
    <row r="752" spans="1:17" x14ac:dyDescent="0.25">
      <c r="A752" s="1" t="s">
        <v>875</v>
      </c>
      <c r="B752" s="1" t="s">
        <v>51</v>
      </c>
      <c r="C752" s="1" t="s">
        <v>52</v>
      </c>
      <c r="D752" s="1" t="s">
        <v>20</v>
      </c>
      <c r="E752" s="1" t="s">
        <v>21</v>
      </c>
      <c r="F752" s="1" t="s">
        <v>56</v>
      </c>
      <c r="G752">
        <v>2232</v>
      </c>
      <c r="H752">
        <v>4</v>
      </c>
      <c r="I752">
        <v>4464</v>
      </c>
      <c r="J752">
        <v>93744</v>
      </c>
      <c r="K752" s="1" t="s">
        <v>389</v>
      </c>
      <c r="L752" s="2">
        <v>0.46944444444444444</v>
      </c>
      <c r="M752" s="1" t="s">
        <v>24</v>
      </c>
      <c r="N752">
        <v>8928</v>
      </c>
      <c r="O752">
        <v>4761904762</v>
      </c>
      <c r="P752">
        <v>4464</v>
      </c>
      <c r="Q752">
        <v>41</v>
      </c>
    </row>
    <row r="753" spans="1:17" x14ac:dyDescent="0.25">
      <c r="A753" s="1" t="s">
        <v>876</v>
      </c>
      <c r="B753" s="1" t="s">
        <v>18</v>
      </c>
      <c r="C753" s="1" t="s">
        <v>19</v>
      </c>
      <c r="D753" s="1" t="s">
        <v>28</v>
      </c>
      <c r="E753" s="1" t="s">
        <v>21</v>
      </c>
      <c r="F753" s="1" t="s">
        <v>53</v>
      </c>
      <c r="G753">
        <v>2728</v>
      </c>
      <c r="H753">
        <v>5</v>
      </c>
      <c r="I753">
        <v>682</v>
      </c>
      <c r="J753">
        <v>14322</v>
      </c>
      <c r="K753" s="1" t="s">
        <v>123</v>
      </c>
      <c r="L753" s="2">
        <v>0.43819444444444444</v>
      </c>
      <c r="M753" s="1" t="s">
        <v>36</v>
      </c>
      <c r="N753">
        <v>1364</v>
      </c>
      <c r="O753">
        <v>4761904762</v>
      </c>
      <c r="P753">
        <v>682</v>
      </c>
      <c r="Q753">
        <v>86</v>
      </c>
    </row>
    <row r="754" spans="1:17" x14ac:dyDescent="0.25">
      <c r="A754" s="1" t="s">
        <v>877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29</v>
      </c>
      <c r="G754">
        <v>1742</v>
      </c>
      <c r="H754">
        <v>10</v>
      </c>
      <c r="I754">
        <v>871</v>
      </c>
      <c r="J754">
        <v>18291</v>
      </c>
      <c r="K754" s="1" t="s">
        <v>250</v>
      </c>
      <c r="L754" s="2">
        <v>0.52083333333333337</v>
      </c>
      <c r="M754" s="1" t="s">
        <v>24</v>
      </c>
      <c r="N754">
        <v>1742</v>
      </c>
      <c r="O754">
        <v>4761904762</v>
      </c>
      <c r="P754">
        <v>871</v>
      </c>
      <c r="Q754">
        <v>7</v>
      </c>
    </row>
    <row r="755" spans="1:17" x14ac:dyDescent="0.25">
      <c r="A755" s="1" t="s">
        <v>878</v>
      </c>
      <c r="B755" s="1" t="s">
        <v>51</v>
      </c>
      <c r="C755" s="1" t="s">
        <v>52</v>
      </c>
      <c r="D755" s="1" t="s">
        <v>28</v>
      </c>
      <c r="E755" s="1" t="s">
        <v>33</v>
      </c>
      <c r="F755" s="1" t="s">
        <v>34</v>
      </c>
      <c r="G755">
        <v>7328</v>
      </c>
      <c r="H755">
        <v>5</v>
      </c>
      <c r="I755">
        <v>1832</v>
      </c>
      <c r="J755">
        <v>38472</v>
      </c>
      <c r="K755" s="1" t="s">
        <v>151</v>
      </c>
      <c r="L755" s="2">
        <v>0.62847222222222221</v>
      </c>
      <c r="M755" s="1" t="s">
        <v>24</v>
      </c>
      <c r="N755">
        <v>3664</v>
      </c>
      <c r="O755">
        <v>4761904762</v>
      </c>
      <c r="P755">
        <v>1832</v>
      </c>
      <c r="Q755">
        <v>84</v>
      </c>
    </row>
    <row r="756" spans="1:17" x14ac:dyDescent="0.25">
      <c r="A756" s="1" t="s">
        <v>879</v>
      </c>
      <c r="B756" s="1" t="s">
        <v>26</v>
      </c>
      <c r="C756" s="1" t="s">
        <v>27</v>
      </c>
      <c r="D756" s="1" t="s">
        <v>20</v>
      </c>
      <c r="E756" s="1" t="s">
        <v>21</v>
      </c>
      <c r="F756" s="1" t="s">
        <v>56</v>
      </c>
      <c r="G756">
        <v>8487</v>
      </c>
      <c r="H756">
        <v>3</v>
      </c>
      <c r="I756">
        <v>127305</v>
      </c>
      <c r="J756">
        <v>2673405</v>
      </c>
      <c r="K756" s="1" t="s">
        <v>90</v>
      </c>
      <c r="L756" s="2">
        <v>0.77083333333333337</v>
      </c>
      <c r="M756" s="1" t="s">
        <v>24</v>
      </c>
      <c r="N756">
        <v>25461</v>
      </c>
      <c r="O756">
        <v>4761904762</v>
      </c>
      <c r="P756">
        <v>127305</v>
      </c>
      <c r="Q756">
        <v>74</v>
      </c>
    </row>
    <row r="757" spans="1:17" x14ac:dyDescent="0.25">
      <c r="A757" s="1" t="s">
        <v>880</v>
      </c>
      <c r="B757" s="1" t="s">
        <v>18</v>
      </c>
      <c r="C757" s="1" t="s">
        <v>19</v>
      </c>
      <c r="D757" s="1" t="s">
        <v>28</v>
      </c>
      <c r="E757" s="1" t="s">
        <v>21</v>
      </c>
      <c r="F757" s="1" t="s">
        <v>56</v>
      </c>
      <c r="G757">
        <v>9729</v>
      </c>
      <c r="H757">
        <v>8</v>
      </c>
      <c r="I757">
        <v>38916</v>
      </c>
      <c r="J757">
        <v>817236</v>
      </c>
      <c r="K757" s="1" t="s">
        <v>59</v>
      </c>
      <c r="L757" s="2">
        <v>0.5541666666666667</v>
      </c>
      <c r="M757" s="1" t="s">
        <v>36</v>
      </c>
      <c r="N757">
        <v>77832</v>
      </c>
      <c r="O757">
        <v>4761904762</v>
      </c>
      <c r="P757">
        <v>38916</v>
      </c>
      <c r="Q757">
        <v>62</v>
      </c>
    </row>
    <row r="758" spans="1:17" x14ac:dyDescent="0.25">
      <c r="A758" s="1" t="s">
        <v>881</v>
      </c>
      <c r="B758" s="1" t="s">
        <v>51</v>
      </c>
      <c r="C758" s="1" t="s">
        <v>52</v>
      </c>
      <c r="D758" s="1" t="s">
        <v>20</v>
      </c>
      <c r="E758" s="1" t="s">
        <v>21</v>
      </c>
      <c r="F758" s="1" t="s">
        <v>29</v>
      </c>
      <c r="G758">
        <v>3574</v>
      </c>
      <c r="H758">
        <v>8</v>
      </c>
      <c r="I758">
        <v>14296</v>
      </c>
      <c r="J758">
        <v>300216</v>
      </c>
      <c r="K758" s="1" t="s">
        <v>81</v>
      </c>
      <c r="L758" s="2">
        <v>0.64444444444444449</v>
      </c>
      <c r="M758" s="1" t="s">
        <v>24</v>
      </c>
      <c r="N758">
        <v>28592</v>
      </c>
      <c r="O758">
        <v>4761904762</v>
      </c>
      <c r="P758">
        <v>14296</v>
      </c>
      <c r="Q758">
        <v>49</v>
      </c>
    </row>
    <row r="759" spans="1:17" x14ac:dyDescent="0.25">
      <c r="A759" s="1" t="s">
        <v>882</v>
      </c>
      <c r="B759" s="1" t="s">
        <v>18</v>
      </c>
      <c r="C759" s="1" t="s">
        <v>19</v>
      </c>
      <c r="D759" s="1" t="s">
        <v>28</v>
      </c>
      <c r="E759" s="1" t="s">
        <v>21</v>
      </c>
      <c r="F759" s="1" t="s">
        <v>34</v>
      </c>
      <c r="G759">
        <v>9652</v>
      </c>
      <c r="H759">
        <v>6</v>
      </c>
      <c r="I759">
        <v>28956</v>
      </c>
      <c r="J759">
        <v>608076</v>
      </c>
      <c r="K759" s="1" t="s">
        <v>345</v>
      </c>
      <c r="L759" s="2">
        <v>0.49444444444444446</v>
      </c>
      <c r="M759" s="1" t="s">
        <v>31</v>
      </c>
      <c r="N759">
        <v>57912</v>
      </c>
      <c r="O759">
        <v>4761904762</v>
      </c>
      <c r="P759">
        <v>28956</v>
      </c>
      <c r="Q759">
        <v>45</v>
      </c>
    </row>
    <row r="760" spans="1:17" x14ac:dyDescent="0.25">
      <c r="A760" s="1" t="s">
        <v>883</v>
      </c>
      <c r="B760" s="1" t="s">
        <v>18</v>
      </c>
      <c r="C760" s="1" t="s">
        <v>19</v>
      </c>
      <c r="D760" s="1" t="s">
        <v>20</v>
      </c>
      <c r="E760" s="1" t="s">
        <v>33</v>
      </c>
      <c r="F760" s="1" t="s">
        <v>53</v>
      </c>
      <c r="G760">
        <v>1885</v>
      </c>
      <c r="H760">
        <v>10</v>
      </c>
      <c r="I760">
        <v>9425</v>
      </c>
      <c r="J760">
        <v>197925</v>
      </c>
      <c r="K760" s="1" t="s">
        <v>116</v>
      </c>
      <c r="L760" s="2">
        <v>0.76666666666666672</v>
      </c>
      <c r="M760" s="1" t="s">
        <v>24</v>
      </c>
      <c r="N760">
        <v>1885</v>
      </c>
      <c r="O760">
        <v>4761904762</v>
      </c>
      <c r="P760">
        <v>9425</v>
      </c>
      <c r="Q760">
        <v>56</v>
      </c>
    </row>
    <row r="761" spans="1:17" x14ac:dyDescent="0.25">
      <c r="A761" s="1" t="s">
        <v>884</v>
      </c>
      <c r="B761" s="1" t="s">
        <v>18</v>
      </c>
      <c r="C761" s="1" t="s">
        <v>19</v>
      </c>
      <c r="D761" s="1" t="s">
        <v>28</v>
      </c>
      <c r="E761" s="1" t="s">
        <v>21</v>
      </c>
      <c r="F761" s="1" t="s">
        <v>53</v>
      </c>
      <c r="G761">
        <v>5539</v>
      </c>
      <c r="H761">
        <v>4</v>
      </c>
      <c r="I761">
        <v>11078</v>
      </c>
      <c r="J761">
        <v>232638</v>
      </c>
      <c r="K761" s="1" t="s">
        <v>43</v>
      </c>
      <c r="L761" s="2">
        <v>0.6381944444444444</v>
      </c>
      <c r="M761" s="1" t="s">
        <v>24</v>
      </c>
      <c r="N761">
        <v>22156</v>
      </c>
      <c r="O761">
        <v>4761904762</v>
      </c>
      <c r="P761">
        <v>11078</v>
      </c>
      <c r="Q761">
        <v>8</v>
      </c>
    </row>
    <row r="762" spans="1:17" x14ac:dyDescent="0.25">
      <c r="A762" s="1" t="s">
        <v>885</v>
      </c>
      <c r="B762" s="1" t="s">
        <v>51</v>
      </c>
      <c r="C762" s="1" t="s">
        <v>52</v>
      </c>
      <c r="D762" s="1" t="s">
        <v>20</v>
      </c>
      <c r="E762" s="1" t="s">
        <v>21</v>
      </c>
      <c r="F762" s="1" t="s">
        <v>53</v>
      </c>
      <c r="G762">
        <v>772</v>
      </c>
      <c r="H762">
        <v>10</v>
      </c>
      <c r="I762">
        <v>386</v>
      </c>
      <c r="J762">
        <v>8106</v>
      </c>
      <c r="K762" s="1" t="s">
        <v>156</v>
      </c>
      <c r="L762" s="2">
        <v>0.44305555555555554</v>
      </c>
      <c r="M762" s="1" t="s">
        <v>36</v>
      </c>
      <c r="N762">
        <v>772</v>
      </c>
      <c r="O762">
        <v>4761904762</v>
      </c>
      <c r="P762">
        <v>386</v>
      </c>
      <c r="Q762">
        <v>56</v>
      </c>
    </row>
    <row r="763" spans="1:17" x14ac:dyDescent="0.25">
      <c r="A763" s="1" t="s">
        <v>886</v>
      </c>
      <c r="B763" s="1" t="s">
        <v>51</v>
      </c>
      <c r="C763" s="1" t="s">
        <v>52</v>
      </c>
      <c r="D763" s="1" t="s">
        <v>28</v>
      </c>
      <c r="E763" s="1" t="s">
        <v>33</v>
      </c>
      <c r="F763" s="1" t="s">
        <v>29</v>
      </c>
      <c r="G763">
        <v>7213</v>
      </c>
      <c r="H763">
        <v>10</v>
      </c>
      <c r="I763">
        <v>36065</v>
      </c>
      <c r="J763">
        <v>757365</v>
      </c>
      <c r="K763" s="1" t="s">
        <v>339</v>
      </c>
      <c r="L763" s="2">
        <v>0.6333333333333333</v>
      </c>
      <c r="M763" s="1" t="s">
        <v>36</v>
      </c>
      <c r="N763">
        <v>7213</v>
      </c>
      <c r="O763">
        <v>4761904762</v>
      </c>
      <c r="P763">
        <v>36065</v>
      </c>
      <c r="Q763">
        <v>42</v>
      </c>
    </row>
    <row r="764" spans="1:17" x14ac:dyDescent="0.25">
      <c r="A764" s="1" t="s">
        <v>887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56</v>
      </c>
      <c r="G764">
        <v>6388</v>
      </c>
      <c r="H764">
        <v>8</v>
      </c>
      <c r="I764">
        <v>25552</v>
      </c>
      <c r="J764">
        <v>536592</v>
      </c>
      <c r="K764" s="1" t="s">
        <v>135</v>
      </c>
      <c r="L764" s="2">
        <v>0.7416666666666667</v>
      </c>
      <c r="M764" s="1" t="s">
        <v>24</v>
      </c>
      <c r="N764">
        <v>51104</v>
      </c>
      <c r="O764">
        <v>4761904762</v>
      </c>
      <c r="P764">
        <v>25552</v>
      </c>
      <c r="Q764">
        <v>99</v>
      </c>
    </row>
    <row r="765" spans="1:17" x14ac:dyDescent="0.25">
      <c r="A765" s="1" t="s">
        <v>888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>
        <v>1069</v>
      </c>
      <c r="H765">
        <v>5</v>
      </c>
      <c r="I765">
        <v>26725</v>
      </c>
      <c r="J765">
        <v>561225</v>
      </c>
      <c r="K765" s="1" t="s">
        <v>195</v>
      </c>
      <c r="L765" s="2">
        <v>0.46319444444444446</v>
      </c>
      <c r="M765" s="1" t="s">
        <v>24</v>
      </c>
      <c r="N765">
        <v>5345</v>
      </c>
      <c r="O765">
        <v>4761904762</v>
      </c>
      <c r="P765">
        <v>26725</v>
      </c>
      <c r="Q765">
        <v>76</v>
      </c>
    </row>
    <row r="766" spans="1:17" x14ac:dyDescent="0.25">
      <c r="A766" s="1" t="s">
        <v>889</v>
      </c>
      <c r="B766" s="1" t="s">
        <v>18</v>
      </c>
      <c r="C766" s="1" t="s">
        <v>19</v>
      </c>
      <c r="D766" s="1" t="s">
        <v>20</v>
      </c>
      <c r="E766" s="1" t="s">
        <v>33</v>
      </c>
      <c r="F766" s="1" t="s">
        <v>22</v>
      </c>
      <c r="G766">
        <v>555</v>
      </c>
      <c r="H766">
        <v>4</v>
      </c>
      <c r="I766">
        <v>111</v>
      </c>
      <c r="J766">
        <v>2331</v>
      </c>
      <c r="K766" s="1" t="s">
        <v>135</v>
      </c>
      <c r="L766" s="2">
        <v>0.65833333333333333</v>
      </c>
      <c r="M766" s="1" t="s">
        <v>36</v>
      </c>
      <c r="N766">
        <v>222</v>
      </c>
      <c r="O766">
        <v>4761904762</v>
      </c>
      <c r="P766">
        <v>111</v>
      </c>
      <c r="Q766">
        <v>66</v>
      </c>
    </row>
    <row r="767" spans="1:17" x14ac:dyDescent="0.25">
      <c r="A767" s="1" t="s">
        <v>890</v>
      </c>
      <c r="B767" s="1" t="s">
        <v>51</v>
      </c>
      <c r="C767" s="1" t="s">
        <v>52</v>
      </c>
      <c r="D767" s="1" t="s">
        <v>28</v>
      </c>
      <c r="E767" s="1" t="s">
        <v>21</v>
      </c>
      <c r="F767" s="1" t="s">
        <v>34</v>
      </c>
      <c r="G767">
        <v>9546</v>
      </c>
      <c r="H767">
        <v>8</v>
      </c>
      <c r="I767">
        <v>38184</v>
      </c>
      <c r="J767">
        <v>801864</v>
      </c>
      <c r="K767" s="1" t="s">
        <v>77</v>
      </c>
      <c r="L767" s="2">
        <v>0.81944444444444442</v>
      </c>
      <c r="M767" s="1" t="s">
        <v>24</v>
      </c>
      <c r="N767">
        <v>76368</v>
      </c>
      <c r="O767">
        <v>4761904762</v>
      </c>
      <c r="P767">
        <v>38184</v>
      </c>
      <c r="Q767">
        <v>47</v>
      </c>
    </row>
    <row r="768" spans="1:17" x14ac:dyDescent="0.25">
      <c r="A768" s="1" t="s">
        <v>891</v>
      </c>
      <c r="B768" s="1" t="s">
        <v>26</v>
      </c>
      <c r="C768" s="1" t="s">
        <v>27</v>
      </c>
      <c r="D768" s="1" t="s">
        <v>28</v>
      </c>
      <c r="E768" s="1" t="s">
        <v>21</v>
      </c>
      <c r="F768" s="1" t="s">
        <v>56</v>
      </c>
      <c r="G768">
        <v>7606</v>
      </c>
      <c r="H768">
        <v>3</v>
      </c>
      <c r="I768">
        <v>11409</v>
      </c>
      <c r="J768">
        <v>239589</v>
      </c>
      <c r="K768" s="1" t="s">
        <v>23</v>
      </c>
      <c r="L768" s="2">
        <v>0.85416666666666663</v>
      </c>
      <c r="M768" s="1" t="s">
        <v>36</v>
      </c>
      <c r="N768">
        <v>22818</v>
      </c>
      <c r="O768">
        <v>4761904762</v>
      </c>
      <c r="P768">
        <v>11409</v>
      </c>
      <c r="Q768">
        <v>98</v>
      </c>
    </row>
    <row r="769" spans="1:17" x14ac:dyDescent="0.25">
      <c r="A769" s="1" t="s">
        <v>892</v>
      </c>
      <c r="B769" s="1" t="s">
        <v>51</v>
      </c>
      <c r="C769" s="1" t="s">
        <v>52</v>
      </c>
      <c r="D769" s="1" t="s">
        <v>28</v>
      </c>
      <c r="E769" s="1" t="s">
        <v>33</v>
      </c>
      <c r="F769" s="1" t="s">
        <v>40</v>
      </c>
      <c r="G769">
        <v>1369</v>
      </c>
      <c r="H769">
        <v>6</v>
      </c>
      <c r="I769">
        <v>4107</v>
      </c>
      <c r="J769">
        <v>86247</v>
      </c>
      <c r="K769" s="1" t="s">
        <v>291</v>
      </c>
      <c r="L769" s="2">
        <v>0.58263888888888893</v>
      </c>
      <c r="M769" s="1" t="s">
        <v>31</v>
      </c>
      <c r="N769">
        <v>8214</v>
      </c>
      <c r="O769">
        <v>4761904762</v>
      </c>
      <c r="P769">
        <v>4107</v>
      </c>
      <c r="Q769">
        <v>63</v>
      </c>
    </row>
    <row r="770" spans="1:17" x14ac:dyDescent="0.25">
      <c r="A770" s="1" t="s">
        <v>893</v>
      </c>
      <c r="B770" s="1" t="s">
        <v>51</v>
      </c>
      <c r="C770" s="1" t="s">
        <v>52</v>
      </c>
      <c r="D770" s="1" t="s">
        <v>28</v>
      </c>
      <c r="E770" s="1" t="s">
        <v>21</v>
      </c>
      <c r="F770" s="1" t="s">
        <v>29</v>
      </c>
      <c r="G770">
        <v>9564</v>
      </c>
      <c r="H770">
        <v>4</v>
      </c>
      <c r="I770">
        <v>19128</v>
      </c>
      <c r="J770">
        <v>401688</v>
      </c>
      <c r="K770" s="1" t="s">
        <v>113</v>
      </c>
      <c r="L770" s="2">
        <v>0.78541666666666665</v>
      </c>
      <c r="M770" s="1" t="s">
        <v>31</v>
      </c>
      <c r="N770">
        <v>38256</v>
      </c>
      <c r="O770">
        <v>4761904762</v>
      </c>
      <c r="P770">
        <v>19128</v>
      </c>
      <c r="Q770">
        <v>79</v>
      </c>
    </row>
    <row r="771" spans="1:17" x14ac:dyDescent="0.25">
      <c r="A771" s="1" t="s">
        <v>894</v>
      </c>
      <c r="B771" s="1" t="s">
        <v>18</v>
      </c>
      <c r="C771" s="1" t="s">
        <v>19</v>
      </c>
      <c r="D771" s="1" t="s">
        <v>28</v>
      </c>
      <c r="E771" s="1" t="s">
        <v>21</v>
      </c>
      <c r="F771" s="1" t="s">
        <v>34</v>
      </c>
      <c r="G771">
        <v>1143</v>
      </c>
      <c r="H771">
        <v>6</v>
      </c>
      <c r="I771">
        <v>3429</v>
      </c>
      <c r="J771">
        <v>72009</v>
      </c>
      <c r="K771" s="1" t="s">
        <v>67</v>
      </c>
      <c r="L771" s="2">
        <v>0.72499999999999998</v>
      </c>
      <c r="M771" s="1" t="s">
        <v>31</v>
      </c>
      <c r="N771">
        <v>6858</v>
      </c>
      <c r="O771">
        <v>4761904762</v>
      </c>
      <c r="P771">
        <v>3429</v>
      </c>
      <c r="Q771">
        <v>77</v>
      </c>
    </row>
    <row r="772" spans="1:17" x14ac:dyDescent="0.25">
      <c r="A772" s="1" t="s">
        <v>895</v>
      </c>
      <c r="B772" s="1" t="s">
        <v>51</v>
      </c>
      <c r="C772" s="1" t="s">
        <v>52</v>
      </c>
      <c r="D772" s="1" t="s">
        <v>20</v>
      </c>
      <c r="E772" s="1" t="s">
        <v>21</v>
      </c>
      <c r="F772" s="1" t="s">
        <v>40</v>
      </c>
      <c r="G772">
        <v>9554</v>
      </c>
      <c r="H772">
        <v>4</v>
      </c>
      <c r="I772">
        <v>19108</v>
      </c>
      <c r="J772">
        <v>401268</v>
      </c>
      <c r="K772" s="1" t="s">
        <v>349</v>
      </c>
      <c r="L772" s="2">
        <v>0.49861111111111112</v>
      </c>
      <c r="M772" s="1" t="s">
        <v>24</v>
      </c>
      <c r="N772">
        <v>38216</v>
      </c>
      <c r="O772">
        <v>4761904762</v>
      </c>
      <c r="P772">
        <v>19108</v>
      </c>
      <c r="Q772">
        <v>45</v>
      </c>
    </row>
    <row r="773" spans="1:17" x14ac:dyDescent="0.25">
      <c r="A773" s="1" t="s">
        <v>896</v>
      </c>
      <c r="B773" s="1" t="s">
        <v>26</v>
      </c>
      <c r="C773" s="1" t="s">
        <v>27</v>
      </c>
      <c r="D773" s="1" t="s">
        <v>20</v>
      </c>
      <c r="E773" s="1" t="s">
        <v>21</v>
      </c>
      <c r="F773" s="1" t="s">
        <v>22</v>
      </c>
      <c r="G773">
        <v>8587</v>
      </c>
      <c r="H773">
        <v>7</v>
      </c>
      <c r="I773">
        <v>300545</v>
      </c>
      <c r="J773">
        <v>6311445</v>
      </c>
      <c r="K773" s="1" t="s">
        <v>116</v>
      </c>
      <c r="L773" s="2">
        <v>0.79236111111111107</v>
      </c>
      <c r="M773" s="1" t="s">
        <v>36</v>
      </c>
      <c r="N773">
        <v>60109</v>
      </c>
      <c r="O773">
        <v>4761904762</v>
      </c>
      <c r="P773">
        <v>300545</v>
      </c>
      <c r="Q773">
        <v>8</v>
      </c>
    </row>
    <row r="774" spans="1:17" x14ac:dyDescent="0.25">
      <c r="A774" s="1" t="s">
        <v>897</v>
      </c>
      <c r="B774" s="1" t="s">
        <v>26</v>
      </c>
      <c r="C774" s="1" t="s">
        <v>27</v>
      </c>
      <c r="D774" s="1" t="s">
        <v>20</v>
      </c>
      <c r="E774" s="1" t="s">
        <v>21</v>
      </c>
      <c r="F774" s="1" t="s">
        <v>40</v>
      </c>
      <c r="G774">
        <v>6799</v>
      </c>
      <c r="H774">
        <v>7</v>
      </c>
      <c r="I774">
        <v>237965</v>
      </c>
      <c r="J774">
        <v>4997265</v>
      </c>
      <c r="K774" s="1" t="s">
        <v>81</v>
      </c>
      <c r="L774" s="2">
        <v>0.70138888888888884</v>
      </c>
      <c r="M774" s="1" t="s">
        <v>24</v>
      </c>
      <c r="N774">
        <v>47593</v>
      </c>
      <c r="O774">
        <v>4761904762</v>
      </c>
      <c r="P774">
        <v>237965</v>
      </c>
      <c r="Q774">
        <v>57</v>
      </c>
    </row>
    <row r="775" spans="1:17" x14ac:dyDescent="0.25">
      <c r="A775" s="1" t="s">
        <v>898</v>
      </c>
      <c r="B775" s="1" t="s">
        <v>26</v>
      </c>
      <c r="C775" s="1" t="s">
        <v>27</v>
      </c>
      <c r="D775" s="1" t="s">
        <v>28</v>
      </c>
      <c r="E775" s="1" t="s">
        <v>21</v>
      </c>
      <c r="F775" s="1" t="s">
        <v>53</v>
      </c>
      <c r="G775">
        <v>5242</v>
      </c>
      <c r="H775">
        <v>1</v>
      </c>
      <c r="I775">
        <v>2621</v>
      </c>
      <c r="J775">
        <v>55041</v>
      </c>
      <c r="K775" s="1" t="s">
        <v>57</v>
      </c>
      <c r="L775" s="2">
        <v>0.43194444444444446</v>
      </c>
      <c r="M775" s="1" t="s">
        <v>36</v>
      </c>
      <c r="N775">
        <v>5242</v>
      </c>
      <c r="O775">
        <v>4761904762</v>
      </c>
      <c r="P775">
        <v>2621</v>
      </c>
      <c r="Q775">
        <v>63</v>
      </c>
    </row>
    <row r="776" spans="1:17" x14ac:dyDescent="0.25">
      <c r="A776" s="1" t="s">
        <v>899</v>
      </c>
      <c r="B776" s="1" t="s">
        <v>26</v>
      </c>
      <c r="C776" s="1" t="s">
        <v>27</v>
      </c>
      <c r="D776" s="1" t="s">
        <v>20</v>
      </c>
      <c r="E776" s="1" t="s">
        <v>33</v>
      </c>
      <c r="F776" s="1" t="s">
        <v>53</v>
      </c>
      <c r="G776">
        <v>6565</v>
      </c>
      <c r="H776">
        <v>2</v>
      </c>
      <c r="I776">
        <v>6565</v>
      </c>
      <c r="J776">
        <v>137865</v>
      </c>
      <c r="K776" s="1" t="s">
        <v>106</v>
      </c>
      <c r="L776" s="2">
        <v>0.69861111111111107</v>
      </c>
      <c r="M776" s="1" t="s">
        <v>31</v>
      </c>
      <c r="N776">
        <v>1313</v>
      </c>
      <c r="O776">
        <v>4761904762</v>
      </c>
      <c r="P776">
        <v>6565</v>
      </c>
      <c r="Q776">
        <v>6</v>
      </c>
    </row>
    <row r="777" spans="1:17" x14ac:dyDescent="0.25">
      <c r="A777" s="1" t="s">
        <v>900</v>
      </c>
      <c r="B777" s="1" t="s">
        <v>51</v>
      </c>
      <c r="C777" s="1" t="s">
        <v>52</v>
      </c>
      <c r="D777" s="1" t="s">
        <v>28</v>
      </c>
      <c r="E777" s="1" t="s">
        <v>21</v>
      </c>
      <c r="F777" s="1" t="s">
        <v>53</v>
      </c>
      <c r="G777">
        <v>2886</v>
      </c>
      <c r="H777">
        <v>5</v>
      </c>
      <c r="I777">
        <v>7215</v>
      </c>
      <c r="J777">
        <v>151515</v>
      </c>
      <c r="K777" s="1" t="s">
        <v>160</v>
      </c>
      <c r="L777" s="2">
        <v>0.75555555555555554</v>
      </c>
      <c r="M777" s="1" t="s">
        <v>36</v>
      </c>
      <c r="N777">
        <v>1443</v>
      </c>
      <c r="O777">
        <v>4761904762</v>
      </c>
      <c r="P777">
        <v>7215</v>
      </c>
      <c r="Q777">
        <v>8</v>
      </c>
    </row>
    <row r="778" spans="1:17" x14ac:dyDescent="0.25">
      <c r="A778" s="1" t="s">
        <v>901</v>
      </c>
      <c r="B778" s="1" t="s">
        <v>26</v>
      </c>
      <c r="C778" s="1" t="s">
        <v>27</v>
      </c>
      <c r="D778" s="1" t="s">
        <v>20</v>
      </c>
      <c r="E778" s="1" t="s">
        <v>33</v>
      </c>
      <c r="F778" s="1" t="s">
        <v>22</v>
      </c>
      <c r="G778">
        <v>6531</v>
      </c>
      <c r="H778">
        <v>7</v>
      </c>
      <c r="I778">
        <v>228585</v>
      </c>
      <c r="J778">
        <v>4800285</v>
      </c>
      <c r="K778" s="1" t="s">
        <v>77</v>
      </c>
      <c r="L778" s="2">
        <v>0.75138888888888888</v>
      </c>
      <c r="M778" s="1" t="s">
        <v>36</v>
      </c>
      <c r="N778">
        <v>45717</v>
      </c>
      <c r="O778">
        <v>4761904762</v>
      </c>
      <c r="P778">
        <v>228585</v>
      </c>
      <c r="Q778">
        <v>42</v>
      </c>
    </row>
    <row r="779" spans="1:17" x14ac:dyDescent="0.25">
      <c r="A779" s="1" t="s">
        <v>902</v>
      </c>
      <c r="B779" s="1" t="s">
        <v>51</v>
      </c>
      <c r="C779" s="1" t="s">
        <v>52</v>
      </c>
      <c r="D779" s="1" t="s">
        <v>28</v>
      </c>
      <c r="E779" s="1" t="s">
        <v>33</v>
      </c>
      <c r="F779" s="1" t="s">
        <v>40</v>
      </c>
      <c r="G779">
        <v>9338</v>
      </c>
      <c r="H779">
        <v>1</v>
      </c>
      <c r="I779">
        <v>4669</v>
      </c>
      <c r="J779">
        <v>98049</v>
      </c>
      <c r="K779" s="1" t="s">
        <v>282</v>
      </c>
      <c r="L779" s="2">
        <v>0.54652777777777772</v>
      </c>
      <c r="M779" s="1" t="s">
        <v>31</v>
      </c>
      <c r="N779">
        <v>9338</v>
      </c>
      <c r="O779">
        <v>4761904762</v>
      </c>
      <c r="P779">
        <v>4669</v>
      </c>
      <c r="Q779">
        <v>96</v>
      </c>
    </row>
    <row r="780" spans="1:17" x14ac:dyDescent="0.25">
      <c r="A780" s="1" t="s">
        <v>903</v>
      </c>
      <c r="B780" s="1" t="s">
        <v>26</v>
      </c>
      <c r="C780" s="1" t="s">
        <v>27</v>
      </c>
      <c r="D780" s="1" t="s">
        <v>20</v>
      </c>
      <c r="E780" s="1" t="s">
        <v>33</v>
      </c>
      <c r="F780" s="1" t="s">
        <v>40</v>
      </c>
      <c r="G780">
        <v>2525</v>
      </c>
      <c r="H780">
        <v>5</v>
      </c>
      <c r="I780">
        <v>63125</v>
      </c>
      <c r="J780">
        <v>1325625</v>
      </c>
      <c r="K780" s="1" t="s">
        <v>329</v>
      </c>
      <c r="L780" s="2">
        <v>0.74444444444444446</v>
      </c>
      <c r="M780" s="1" t="s">
        <v>31</v>
      </c>
      <c r="N780">
        <v>12625</v>
      </c>
      <c r="O780">
        <v>4761904762</v>
      </c>
      <c r="P780">
        <v>63125</v>
      </c>
      <c r="Q780">
        <v>61</v>
      </c>
    </row>
    <row r="781" spans="1:17" x14ac:dyDescent="0.25">
      <c r="A781" s="1" t="s">
        <v>904</v>
      </c>
      <c r="B781" s="1" t="s">
        <v>51</v>
      </c>
      <c r="C781" s="1" t="s">
        <v>52</v>
      </c>
      <c r="D781" s="1" t="s">
        <v>20</v>
      </c>
      <c r="E781" s="1" t="s">
        <v>33</v>
      </c>
      <c r="F781" s="1" t="s">
        <v>29</v>
      </c>
      <c r="G781">
        <v>8787</v>
      </c>
      <c r="H781">
        <v>9</v>
      </c>
      <c r="I781">
        <v>395415</v>
      </c>
      <c r="J781">
        <v>8303715</v>
      </c>
      <c r="K781" s="1" t="s">
        <v>339</v>
      </c>
      <c r="L781" s="2">
        <v>0.85555555555555551</v>
      </c>
      <c r="M781" s="1" t="s">
        <v>24</v>
      </c>
      <c r="N781">
        <v>79083</v>
      </c>
      <c r="O781">
        <v>4761904762</v>
      </c>
      <c r="P781">
        <v>395415</v>
      </c>
      <c r="Q781">
        <v>56</v>
      </c>
    </row>
    <row r="782" spans="1:17" x14ac:dyDescent="0.25">
      <c r="A782" s="1" t="s">
        <v>905</v>
      </c>
      <c r="B782" s="1" t="s">
        <v>26</v>
      </c>
      <c r="C782" s="1" t="s">
        <v>27</v>
      </c>
      <c r="D782" s="1" t="s">
        <v>28</v>
      </c>
      <c r="E782" s="1" t="s">
        <v>33</v>
      </c>
      <c r="F782" s="1" t="s">
        <v>22</v>
      </c>
      <c r="G782">
        <v>218</v>
      </c>
      <c r="H782">
        <v>8</v>
      </c>
      <c r="I782">
        <v>872</v>
      </c>
      <c r="J782">
        <v>18312</v>
      </c>
      <c r="K782" s="1" t="s">
        <v>489</v>
      </c>
      <c r="L782" s="2">
        <v>0.80833333333333335</v>
      </c>
      <c r="M782" s="1" t="s">
        <v>31</v>
      </c>
      <c r="N782">
        <v>1744</v>
      </c>
      <c r="O782">
        <v>4761904762</v>
      </c>
      <c r="P782">
        <v>872</v>
      </c>
      <c r="Q782">
        <v>83</v>
      </c>
    </row>
    <row r="783" spans="1:17" x14ac:dyDescent="0.25">
      <c r="A783" s="1" t="s">
        <v>906</v>
      </c>
      <c r="B783" s="1" t="s">
        <v>18</v>
      </c>
      <c r="C783" s="1" t="s">
        <v>19</v>
      </c>
      <c r="D783" s="1" t="s">
        <v>28</v>
      </c>
      <c r="E783" s="1" t="s">
        <v>21</v>
      </c>
      <c r="F783" s="1" t="s">
        <v>40</v>
      </c>
      <c r="G783">
        <v>9476</v>
      </c>
      <c r="H783">
        <v>4</v>
      </c>
      <c r="I783">
        <v>18952</v>
      </c>
      <c r="J783">
        <v>397992</v>
      </c>
      <c r="K783" s="1" t="s">
        <v>156</v>
      </c>
      <c r="L783" s="2">
        <v>0.67083333333333328</v>
      </c>
      <c r="M783" s="1" t="s">
        <v>24</v>
      </c>
      <c r="N783">
        <v>37904</v>
      </c>
      <c r="O783">
        <v>4761904762</v>
      </c>
      <c r="P783">
        <v>18952</v>
      </c>
      <c r="Q783">
        <v>78</v>
      </c>
    </row>
    <row r="784" spans="1:17" x14ac:dyDescent="0.25">
      <c r="A784" s="1" t="s">
        <v>907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56</v>
      </c>
      <c r="G784">
        <v>3062</v>
      </c>
      <c r="H784">
        <v>1</v>
      </c>
      <c r="I784">
        <v>1531</v>
      </c>
      <c r="J784">
        <v>32151</v>
      </c>
      <c r="K784" s="1" t="s">
        <v>210</v>
      </c>
      <c r="L784" s="2">
        <v>0.59305555555555556</v>
      </c>
      <c r="M784" s="1" t="s">
        <v>36</v>
      </c>
      <c r="N784">
        <v>3062</v>
      </c>
      <c r="O784">
        <v>4761904762</v>
      </c>
      <c r="P784">
        <v>1531</v>
      </c>
      <c r="Q784">
        <v>41</v>
      </c>
    </row>
    <row r="785" spans="1:17" x14ac:dyDescent="0.25">
      <c r="A785" s="1" t="s">
        <v>908</v>
      </c>
      <c r="B785" s="1" t="s">
        <v>26</v>
      </c>
      <c r="C785" s="1" t="s">
        <v>27</v>
      </c>
      <c r="D785" s="1" t="s">
        <v>28</v>
      </c>
      <c r="E785" s="1" t="s">
        <v>21</v>
      </c>
      <c r="F785" s="1" t="s">
        <v>34</v>
      </c>
      <c r="G785">
        <v>4401</v>
      </c>
      <c r="H785">
        <v>8</v>
      </c>
      <c r="I785">
        <v>17604</v>
      </c>
      <c r="J785">
        <v>369684</v>
      </c>
      <c r="K785" s="1" t="s">
        <v>35</v>
      </c>
      <c r="L785" s="2">
        <v>0.73333333333333328</v>
      </c>
      <c r="M785" s="1" t="s">
        <v>31</v>
      </c>
      <c r="N785">
        <v>35208</v>
      </c>
      <c r="O785">
        <v>4761904762</v>
      </c>
      <c r="P785">
        <v>17604</v>
      </c>
      <c r="Q785">
        <v>88</v>
      </c>
    </row>
    <row r="786" spans="1:17" x14ac:dyDescent="0.25">
      <c r="A786" s="1" t="s">
        <v>909</v>
      </c>
      <c r="B786" s="1" t="s">
        <v>26</v>
      </c>
      <c r="C786" s="1" t="s">
        <v>27</v>
      </c>
      <c r="D786" s="1" t="s">
        <v>20</v>
      </c>
      <c r="E786" s="1" t="s">
        <v>21</v>
      </c>
      <c r="F786" s="1" t="s">
        <v>22</v>
      </c>
      <c r="G786">
        <v>1016</v>
      </c>
      <c r="H786">
        <v>5</v>
      </c>
      <c r="I786">
        <v>254</v>
      </c>
      <c r="J786">
        <v>5334</v>
      </c>
      <c r="K786" s="1" t="s">
        <v>47</v>
      </c>
      <c r="L786" s="2">
        <v>0.54722222222222228</v>
      </c>
      <c r="M786" s="1" t="s">
        <v>24</v>
      </c>
      <c r="N786">
        <v>508</v>
      </c>
      <c r="O786">
        <v>4761904762</v>
      </c>
      <c r="P786">
        <v>254</v>
      </c>
      <c r="Q786">
        <v>41</v>
      </c>
    </row>
    <row r="787" spans="1:17" x14ac:dyDescent="0.25">
      <c r="A787" s="1" t="s">
        <v>910</v>
      </c>
      <c r="B787" s="1" t="s">
        <v>18</v>
      </c>
      <c r="C787" s="1" t="s">
        <v>19</v>
      </c>
      <c r="D787" s="1" t="s">
        <v>28</v>
      </c>
      <c r="E787" s="1" t="s">
        <v>33</v>
      </c>
      <c r="F787" s="1" t="s">
        <v>29</v>
      </c>
      <c r="G787">
        <v>7458</v>
      </c>
      <c r="H787">
        <v>7</v>
      </c>
      <c r="I787">
        <v>26103</v>
      </c>
      <c r="J787">
        <v>548163</v>
      </c>
      <c r="K787" s="1" t="s">
        <v>470</v>
      </c>
      <c r="L787" s="2">
        <v>0.67291666666666672</v>
      </c>
      <c r="M787" s="1" t="s">
        <v>36</v>
      </c>
      <c r="N787">
        <v>52206</v>
      </c>
      <c r="O787">
        <v>4761904762</v>
      </c>
      <c r="P787">
        <v>26103</v>
      </c>
      <c r="Q787">
        <v>9</v>
      </c>
    </row>
    <row r="788" spans="1:17" x14ac:dyDescent="0.25">
      <c r="A788" s="1" t="s">
        <v>911</v>
      </c>
      <c r="B788" s="1" t="s">
        <v>26</v>
      </c>
      <c r="C788" s="1" t="s">
        <v>27</v>
      </c>
      <c r="D788" s="1" t="s">
        <v>28</v>
      </c>
      <c r="E788" s="1" t="s">
        <v>33</v>
      </c>
      <c r="F788" s="1" t="s">
        <v>29</v>
      </c>
      <c r="G788">
        <v>7189</v>
      </c>
      <c r="H788">
        <v>8</v>
      </c>
      <c r="I788">
        <v>28756</v>
      </c>
      <c r="J788">
        <v>603876</v>
      </c>
      <c r="K788" s="1" t="s">
        <v>489</v>
      </c>
      <c r="L788" s="2">
        <v>0.48125000000000001</v>
      </c>
      <c r="M788" s="1" t="s">
        <v>24</v>
      </c>
      <c r="N788">
        <v>57512</v>
      </c>
      <c r="O788">
        <v>4761904762</v>
      </c>
      <c r="P788">
        <v>28756</v>
      </c>
      <c r="Q788">
        <v>55</v>
      </c>
    </row>
    <row r="789" spans="1:17" x14ac:dyDescent="0.25">
      <c r="A789" s="1" t="s">
        <v>912</v>
      </c>
      <c r="B789" s="1" t="s">
        <v>26</v>
      </c>
      <c r="C789" s="1" t="s">
        <v>27</v>
      </c>
      <c r="D789" s="1" t="s">
        <v>28</v>
      </c>
      <c r="E789" s="1" t="s">
        <v>21</v>
      </c>
      <c r="F789" s="1" t="s">
        <v>22</v>
      </c>
      <c r="G789">
        <v>1099</v>
      </c>
      <c r="H789">
        <v>5</v>
      </c>
      <c r="I789">
        <v>27475</v>
      </c>
      <c r="J789">
        <v>576975</v>
      </c>
      <c r="K789" s="1" t="s">
        <v>173</v>
      </c>
      <c r="L789" s="2">
        <v>0.42916666666666664</v>
      </c>
      <c r="M789" s="1" t="s">
        <v>36</v>
      </c>
      <c r="N789">
        <v>5495</v>
      </c>
      <c r="O789">
        <v>4761904762</v>
      </c>
      <c r="P789">
        <v>27475</v>
      </c>
      <c r="Q789">
        <v>93</v>
      </c>
    </row>
    <row r="790" spans="1:17" x14ac:dyDescent="0.25">
      <c r="A790" s="1" t="s">
        <v>913</v>
      </c>
      <c r="B790" s="1" t="s">
        <v>26</v>
      </c>
      <c r="C790" s="1" t="s">
        <v>27</v>
      </c>
      <c r="D790" s="1" t="s">
        <v>20</v>
      </c>
      <c r="E790" s="1" t="s">
        <v>33</v>
      </c>
      <c r="F790" s="1" t="s">
        <v>22</v>
      </c>
      <c r="G790">
        <v>6047</v>
      </c>
      <c r="H790">
        <v>3</v>
      </c>
      <c r="I790">
        <v>90705</v>
      </c>
      <c r="J790">
        <v>1904805</v>
      </c>
      <c r="K790" s="1" t="s">
        <v>317</v>
      </c>
      <c r="L790" s="2">
        <v>0.4548611111111111</v>
      </c>
      <c r="M790" s="1" t="s">
        <v>36</v>
      </c>
      <c r="N790">
        <v>18141</v>
      </c>
      <c r="O790">
        <v>4761904762</v>
      </c>
      <c r="P790">
        <v>90705</v>
      </c>
      <c r="Q790">
        <v>56</v>
      </c>
    </row>
    <row r="791" spans="1:17" x14ac:dyDescent="0.25">
      <c r="A791" s="1" t="s">
        <v>914</v>
      </c>
      <c r="B791" s="1" t="s">
        <v>18</v>
      </c>
      <c r="C791" s="1" t="s">
        <v>19</v>
      </c>
      <c r="D791" s="1" t="s">
        <v>28</v>
      </c>
      <c r="E791" s="1" t="s">
        <v>33</v>
      </c>
      <c r="F791" s="1" t="s">
        <v>40</v>
      </c>
      <c r="G791">
        <v>5891</v>
      </c>
      <c r="H791">
        <v>7</v>
      </c>
      <c r="I791">
        <v>206185</v>
      </c>
      <c r="J791">
        <v>4329885</v>
      </c>
      <c r="K791" s="1" t="s">
        <v>106</v>
      </c>
      <c r="L791" s="2">
        <v>0.63541666666666663</v>
      </c>
      <c r="M791" s="1" t="s">
        <v>24</v>
      </c>
      <c r="N791">
        <v>41237</v>
      </c>
      <c r="O791">
        <v>4761904762</v>
      </c>
      <c r="P791">
        <v>206185</v>
      </c>
      <c r="Q791">
        <v>97</v>
      </c>
    </row>
    <row r="792" spans="1:17" x14ac:dyDescent="0.25">
      <c r="A792" s="1" t="s">
        <v>915</v>
      </c>
      <c r="B792" s="1" t="s">
        <v>18</v>
      </c>
      <c r="C792" s="1" t="s">
        <v>19</v>
      </c>
      <c r="D792" s="1" t="s">
        <v>28</v>
      </c>
      <c r="E792" s="1" t="s">
        <v>33</v>
      </c>
      <c r="F792" s="1" t="s">
        <v>56</v>
      </c>
      <c r="G792">
        <v>4641</v>
      </c>
      <c r="H792">
        <v>1</v>
      </c>
      <c r="I792">
        <v>23205</v>
      </c>
      <c r="J792">
        <v>487305</v>
      </c>
      <c r="K792" s="1" t="s">
        <v>35</v>
      </c>
      <c r="L792" s="2">
        <v>0.83750000000000002</v>
      </c>
      <c r="M792" s="1" t="s">
        <v>36</v>
      </c>
      <c r="N792">
        <v>4641</v>
      </c>
      <c r="O792">
        <v>4761904762</v>
      </c>
      <c r="P792">
        <v>23205</v>
      </c>
      <c r="Q792">
        <v>4</v>
      </c>
    </row>
    <row r="793" spans="1:17" x14ac:dyDescent="0.25">
      <c r="A793" s="1" t="s">
        <v>916</v>
      </c>
      <c r="B793" s="1" t="s">
        <v>26</v>
      </c>
      <c r="C793" s="1" t="s">
        <v>27</v>
      </c>
      <c r="D793" s="1" t="s">
        <v>20</v>
      </c>
      <c r="E793" s="1" t="s">
        <v>33</v>
      </c>
      <c r="F793" s="1" t="s">
        <v>22</v>
      </c>
      <c r="G793">
        <v>6855</v>
      </c>
      <c r="H793">
        <v>4</v>
      </c>
      <c r="I793">
        <v>1371</v>
      </c>
      <c r="J793">
        <v>28791</v>
      </c>
      <c r="K793" s="1" t="s">
        <v>139</v>
      </c>
      <c r="L793" s="2">
        <v>0.84791666666666665</v>
      </c>
      <c r="M793" s="1" t="s">
        <v>36</v>
      </c>
      <c r="N793">
        <v>2742</v>
      </c>
      <c r="O793">
        <v>4761904762</v>
      </c>
      <c r="P793">
        <v>1371</v>
      </c>
      <c r="Q793">
        <v>92</v>
      </c>
    </row>
    <row r="794" spans="1:17" x14ac:dyDescent="0.25">
      <c r="A794" s="1" t="s">
        <v>917</v>
      </c>
      <c r="B794" s="1" t="s">
        <v>51</v>
      </c>
      <c r="C794" s="1" t="s">
        <v>52</v>
      </c>
      <c r="D794" s="1" t="s">
        <v>28</v>
      </c>
      <c r="E794" s="1" t="s">
        <v>21</v>
      </c>
      <c r="F794" s="1" t="s">
        <v>34</v>
      </c>
      <c r="G794">
        <v>9737</v>
      </c>
      <c r="H794">
        <v>10</v>
      </c>
      <c r="I794">
        <v>48685</v>
      </c>
      <c r="J794">
        <v>1022385</v>
      </c>
      <c r="K794" s="1" t="s">
        <v>67</v>
      </c>
      <c r="L794" s="2">
        <v>0.57499999999999996</v>
      </c>
      <c r="M794" s="1" t="s">
        <v>36</v>
      </c>
      <c r="N794">
        <v>9737</v>
      </c>
      <c r="O794">
        <v>4761904762</v>
      </c>
      <c r="P794">
        <v>48685</v>
      </c>
      <c r="Q794">
        <v>49</v>
      </c>
    </row>
    <row r="795" spans="1:17" x14ac:dyDescent="0.25">
      <c r="A795" s="1" t="s">
        <v>918</v>
      </c>
      <c r="B795" s="1" t="s">
        <v>18</v>
      </c>
      <c r="C795" s="1" t="s">
        <v>19</v>
      </c>
      <c r="D795" s="1" t="s">
        <v>20</v>
      </c>
      <c r="E795" s="1" t="s">
        <v>33</v>
      </c>
      <c r="F795" s="1" t="s">
        <v>29</v>
      </c>
      <c r="G795">
        <v>926</v>
      </c>
      <c r="H795">
        <v>7</v>
      </c>
      <c r="I795">
        <v>3241</v>
      </c>
      <c r="J795">
        <v>68061</v>
      </c>
      <c r="K795" s="1" t="s">
        <v>116</v>
      </c>
      <c r="L795" s="2">
        <v>0.53611111111111109</v>
      </c>
      <c r="M795" s="1" t="s">
        <v>36</v>
      </c>
      <c r="N795">
        <v>6482</v>
      </c>
      <c r="O795">
        <v>4761904762</v>
      </c>
      <c r="P795">
        <v>3241</v>
      </c>
      <c r="Q795">
        <v>93</v>
      </c>
    </row>
    <row r="796" spans="1:17" x14ac:dyDescent="0.25">
      <c r="A796" s="1" t="s">
        <v>919</v>
      </c>
      <c r="B796" s="1" t="s">
        <v>18</v>
      </c>
      <c r="C796" s="1" t="s">
        <v>19</v>
      </c>
      <c r="D796" s="1" t="s">
        <v>28</v>
      </c>
      <c r="E796" s="1" t="s">
        <v>21</v>
      </c>
      <c r="F796" s="1" t="s">
        <v>29</v>
      </c>
      <c r="G796">
        <v>4661</v>
      </c>
      <c r="H796">
        <v>2</v>
      </c>
      <c r="I796">
        <v>4661</v>
      </c>
      <c r="J796">
        <v>97881</v>
      </c>
      <c r="K796" s="1" t="s">
        <v>349</v>
      </c>
      <c r="L796" s="2">
        <v>0.51944444444444449</v>
      </c>
      <c r="M796" s="1" t="s">
        <v>36</v>
      </c>
      <c r="N796">
        <v>9322</v>
      </c>
      <c r="O796">
        <v>4761904762</v>
      </c>
      <c r="P796">
        <v>4661</v>
      </c>
      <c r="Q796">
        <v>66</v>
      </c>
    </row>
    <row r="797" spans="1:17" x14ac:dyDescent="0.25">
      <c r="A797" s="1" t="s">
        <v>920</v>
      </c>
      <c r="B797" s="1" t="s">
        <v>51</v>
      </c>
      <c r="C797" s="1" t="s">
        <v>52</v>
      </c>
      <c r="D797" s="1" t="s">
        <v>28</v>
      </c>
      <c r="E797" s="1" t="s">
        <v>33</v>
      </c>
      <c r="F797" s="1" t="s">
        <v>56</v>
      </c>
      <c r="G797">
        <v>2718</v>
      </c>
      <c r="H797">
        <v>2</v>
      </c>
      <c r="I797">
        <v>2718</v>
      </c>
      <c r="J797">
        <v>57078</v>
      </c>
      <c r="K797" s="1" t="s">
        <v>79</v>
      </c>
      <c r="L797" s="2">
        <v>0.68472222222222223</v>
      </c>
      <c r="M797" s="1" t="s">
        <v>24</v>
      </c>
      <c r="N797">
        <v>5436</v>
      </c>
      <c r="O797">
        <v>4761904762</v>
      </c>
      <c r="P797">
        <v>2718</v>
      </c>
      <c r="Q797">
        <v>43</v>
      </c>
    </row>
    <row r="798" spans="1:17" x14ac:dyDescent="0.25">
      <c r="A798" s="1" t="s">
        <v>921</v>
      </c>
      <c r="B798" s="1" t="s">
        <v>26</v>
      </c>
      <c r="C798" s="1" t="s">
        <v>27</v>
      </c>
      <c r="D798" s="1" t="s">
        <v>20</v>
      </c>
      <c r="E798" s="1" t="s">
        <v>21</v>
      </c>
      <c r="F798" s="1" t="s">
        <v>34</v>
      </c>
      <c r="G798">
        <v>6087</v>
      </c>
      <c r="H798">
        <v>1</v>
      </c>
      <c r="I798">
        <v>30435</v>
      </c>
      <c r="J798">
        <v>639135</v>
      </c>
      <c r="K798" s="1" t="s">
        <v>151</v>
      </c>
      <c r="L798" s="2">
        <v>0.55833333333333335</v>
      </c>
      <c r="M798" s="1" t="s">
        <v>31</v>
      </c>
      <c r="N798">
        <v>6087</v>
      </c>
      <c r="O798">
        <v>4761904762</v>
      </c>
      <c r="P798">
        <v>30435</v>
      </c>
      <c r="Q798">
        <v>55</v>
      </c>
    </row>
    <row r="799" spans="1:17" x14ac:dyDescent="0.25">
      <c r="A799" s="1" t="s">
        <v>922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40</v>
      </c>
      <c r="G799">
        <v>2449</v>
      </c>
      <c r="H799">
        <v>10</v>
      </c>
      <c r="I799">
        <v>12245</v>
      </c>
      <c r="J799">
        <v>257145</v>
      </c>
      <c r="K799" s="1" t="s">
        <v>250</v>
      </c>
      <c r="L799" s="2">
        <v>0.63541666666666663</v>
      </c>
      <c r="M799" s="1" t="s">
        <v>31</v>
      </c>
      <c r="N799">
        <v>2449</v>
      </c>
      <c r="O799">
        <v>4761904762</v>
      </c>
      <c r="P799">
        <v>12245</v>
      </c>
      <c r="Q799">
        <v>81</v>
      </c>
    </row>
    <row r="800" spans="1:17" x14ac:dyDescent="0.25">
      <c r="A800" s="1" t="s">
        <v>923</v>
      </c>
      <c r="B800" s="1" t="s">
        <v>51</v>
      </c>
      <c r="C800" s="1" t="s">
        <v>52</v>
      </c>
      <c r="D800" s="1" t="s">
        <v>28</v>
      </c>
      <c r="E800" s="1" t="s">
        <v>33</v>
      </c>
      <c r="F800" s="1" t="s">
        <v>22</v>
      </c>
      <c r="G800">
        <v>9278</v>
      </c>
      <c r="H800">
        <v>1</v>
      </c>
      <c r="I800">
        <v>4639</v>
      </c>
      <c r="J800">
        <v>97419</v>
      </c>
      <c r="K800" s="1" t="s">
        <v>79</v>
      </c>
      <c r="L800" s="2">
        <v>0.4513888888888889</v>
      </c>
      <c r="M800" s="1" t="s">
        <v>36</v>
      </c>
      <c r="N800">
        <v>9278</v>
      </c>
      <c r="O800">
        <v>4761904762</v>
      </c>
      <c r="P800">
        <v>4639</v>
      </c>
      <c r="Q800">
        <v>98</v>
      </c>
    </row>
    <row r="801" spans="1:17" x14ac:dyDescent="0.25">
      <c r="A801" s="1" t="s">
        <v>924</v>
      </c>
      <c r="B801" s="1" t="s">
        <v>26</v>
      </c>
      <c r="C801" s="1" t="s">
        <v>27</v>
      </c>
      <c r="D801" s="1" t="s">
        <v>20</v>
      </c>
      <c r="E801" s="1" t="s">
        <v>33</v>
      </c>
      <c r="F801" s="1" t="s">
        <v>34</v>
      </c>
      <c r="G801">
        <v>8669</v>
      </c>
      <c r="H801">
        <v>5</v>
      </c>
      <c r="I801">
        <v>216725</v>
      </c>
      <c r="J801">
        <v>4551225</v>
      </c>
      <c r="K801" s="1" t="s">
        <v>156</v>
      </c>
      <c r="L801" s="2">
        <v>0.77638888888888891</v>
      </c>
      <c r="M801" s="1" t="s">
        <v>24</v>
      </c>
      <c r="N801">
        <v>43345</v>
      </c>
      <c r="O801">
        <v>4761904762</v>
      </c>
      <c r="P801">
        <v>216725</v>
      </c>
      <c r="Q801">
        <v>94</v>
      </c>
    </row>
    <row r="802" spans="1:17" x14ac:dyDescent="0.25">
      <c r="A802" s="1" t="s">
        <v>925</v>
      </c>
      <c r="B802" s="1" t="s">
        <v>51</v>
      </c>
      <c r="C802" s="1" t="s">
        <v>52</v>
      </c>
      <c r="D802" s="1" t="s">
        <v>28</v>
      </c>
      <c r="E802" s="1" t="s">
        <v>33</v>
      </c>
      <c r="F802" s="1" t="s">
        <v>40</v>
      </c>
      <c r="G802">
        <v>2301</v>
      </c>
      <c r="H802">
        <v>6</v>
      </c>
      <c r="I802">
        <v>6903</v>
      </c>
      <c r="J802">
        <v>144963</v>
      </c>
      <c r="K802" s="1" t="s">
        <v>166</v>
      </c>
      <c r="L802" s="2">
        <v>0.69791666666666663</v>
      </c>
      <c r="M802" s="1" t="s">
        <v>24</v>
      </c>
      <c r="N802">
        <v>13806</v>
      </c>
      <c r="O802">
        <v>4761904762</v>
      </c>
      <c r="P802">
        <v>6903</v>
      </c>
      <c r="Q802">
        <v>79</v>
      </c>
    </row>
    <row r="803" spans="1:17" x14ac:dyDescent="0.25">
      <c r="A803" s="1" t="s">
        <v>926</v>
      </c>
      <c r="B803" s="1" t="s">
        <v>26</v>
      </c>
      <c r="C803" s="1" t="s">
        <v>27</v>
      </c>
      <c r="D803" s="1" t="s">
        <v>20</v>
      </c>
      <c r="E803" s="1" t="s">
        <v>21</v>
      </c>
      <c r="F803" s="1" t="s">
        <v>29</v>
      </c>
      <c r="G803">
        <v>302</v>
      </c>
      <c r="H803">
        <v>8</v>
      </c>
      <c r="I803">
        <v>1208</v>
      </c>
      <c r="J803">
        <v>25368</v>
      </c>
      <c r="K803" s="1" t="s">
        <v>35</v>
      </c>
      <c r="L803" s="2">
        <v>0.8125</v>
      </c>
      <c r="M803" s="1" t="s">
        <v>24</v>
      </c>
      <c r="N803">
        <v>2416</v>
      </c>
      <c r="O803">
        <v>4761904762</v>
      </c>
      <c r="P803">
        <v>1208</v>
      </c>
      <c r="Q803">
        <v>51</v>
      </c>
    </row>
    <row r="804" spans="1:17" x14ac:dyDescent="0.25">
      <c r="A804" s="1" t="s">
        <v>927</v>
      </c>
      <c r="B804" s="1" t="s">
        <v>26</v>
      </c>
      <c r="C804" s="1" t="s">
        <v>27</v>
      </c>
      <c r="D804" s="1" t="s">
        <v>20</v>
      </c>
      <c r="E804" s="1" t="s">
        <v>33</v>
      </c>
      <c r="F804" s="1" t="s">
        <v>56</v>
      </c>
      <c r="G804">
        <v>6739</v>
      </c>
      <c r="H804">
        <v>7</v>
      </c>
      <c r="I804">
        <v>235865</v>
      </c>
      <c r="J804">
        <v>4953165</v>
      </c>
      <c r="K804" s="1" t="s">
        <v>103</v>
      </c>
      <c r="L804" s="2">
        <v>0.55763888888888891</v>
      </c>
      <c r="M804" s="1" t="s">
        <v>24</v>
      </c>
      <c r="N804">
        <v>47173</v>
      </c>
      <c r="O804">
        <v>4761904762</v>
      </c>
      <c r="P804">
        <v>235865</v>
      </c>
      <c r="Q804">
        <v>69</v>
      </c>
    </row>
    <row r="805" spans="1:17" x14ac:dyDescent="0.25">
      <c r="A805" s="1" t="s">
        <v>928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56</v>
      </c>
      <c r="G805">
        <v>4896</v>
      </c>
      <c r="H805">
        <v>9</v>
      </c>
      <c r="I805">
        <v>22032</v>
      </c>
      <c r="J805">
        <v>462672</v>
      </c>
      <c r="K805" s="1" t="s">
        <v>111</v>
      </c>
      <c r="L805" s="2">
        <v>0.47708333333333336</v>
      </c>
      <c r="M805" s="1" t="s">
        <v>31</v>
      </c>
      <c r="N805">
        <v>44064</v>
      </c>
      <c r="O805">
        <v>4761904762</v>
      </c>
      <c r="P805">
        <v>22032</v>
      </c>
      <c r="Q805">
        <v>8</v>
      </c>
    </row>
    <row r="806" spans="1:17" x14ac:dyDescent="0.25">
      <c r="A806" s="1" t="s">
        <v>929</v>
      </c>
      <c r="B806" s="1" t="s">
        <v>51</v>
      </c>
      <c r="C806" s="1" t="s">
        <v>52</v>
      </c>
      <c r="D806" s="1" t="s">
        <v>20</v>
      </c>
      <c r="E806" s="1" t="s">
        <v>21</v>
      </c>
      <c r="F806" s="1" t="s">
        <v>29</v>
      </c>
      <c r="G806">
        <v>7559</v>
      </c>
      <c r="H806">
        <v>9</v>
      </c>
      <c r="I806">
        <v>340155</v>
      </c>
      <c r="J806">
        <v>7143255</v>
      </c>
      <c r="K806" s="1" t="s">
        <v>175</v>
      </c>
      <c r="L806" s="2">
        <v>0.46666666666666667</v>
      </c>
      <c r="M806" s="1" t="s">
        <v>31</v>
      </c>
      <c r="N806">
        <v>68031</v>
      </c>
      <c r="O806">
        <v>4761904762</v>
      </c>
      <c r="P806">
        <v>340155</v>
      </c>
      <c r="Q806">
        <v>8</v>
      </c>
    </row>
    <row r="807" spans="1:17" x14ac:dyDescent="0.25">
      <c r="A807" s="1" t="s">
        <v>930</v>
      </c>
      <c r="B807" s="1" t="s">
        <v>18</v>
      </c>
      <c r="C807" s="1" t="s">
        <v>19</v>
      </c>
      <c r="D807" s="1" t="s">
        <v>28</v>
      </c>
      <c r="E807" s="1" t="s">
        <v>21</v>
      </c>
      <c r="F807" s="1" t="s">
        <v>34</v>
      </c>
      <c r="G807">
        <v>7747</v>
      </c>
      <c r="H807">
        <v>4</v>
      </c>
      <c r="I807">
        <v>15494</v>
      </c>
      <c r="J807">
        <v>325374</v>
      </c>
      <c r="K807" s="1" t="s">
        <v>373</v>
      </c>
      <c r="L807" s="2">
        <v>0.69166666666666665</v>
      </c>
      <c r="M807" s="1" t="s">
        <v>31</v>
      </c>
      <c r="N807">
        <v>30988</v>
      </c>
      <c r="O807">
        <v>4761904762</v>
      </c>
      <c r="P807">
        <v>15494</v>
      </c>
      <c r="Q807">
        <v>42</v>
      </c>
    </row>
    <row r="808" spans="1:17" x14ac:dyDescent="0.25">
      <c r="A808" s="1" t="s">
        <v>931</v>
      </c>
      <c r="B808" s="1" t="s">
        <v>18</v>
      </c>
      <c r="C808" s="1" t="s">
        <v>19</v>
      </c>
      <c r="D808" s="1" t="s">
        <v>28</v>
      </c>
      <c r="E808" s="1" t="s">
        <v>21</v>
      </c>
      <c r="F808" s="1" t="s">
        <v>40</v>
      </c>
      <c r="G808">
        <v>9318</v>
      </c>
      <c r="H808">
        <v>2</v>
      </c>
      <c r="I808">
        <v>9318</v>
      </c>
      <c r="J808">
        <v>195678</v>
      </c>
      <c r="K808" s="1" t="s">
        <v>219</v>
      </c>
      <c r="L808" s="2">
        <v>0.77847222222222223</v>
      </c>
      <c r="M808" s="1" t="s">
        <v>36</v>
      </c>
      <c r="N808">
        <v>18636</v>
      </c>
      <c r="O808">
        <v>4761904762</v>
      </c>
      <c r="P808">
        <v>9318</v>
      </c>
      <c r="Q808">
        <v>85</v>
      </c>
    </row>
    <row r="809" spans="1:17" x14ac:dyDescent="0.25">
      <c r="A809" s="1" t="s">
        <v>932</v>
      </c>
      <c r="B809" s="1" t="s">
        <v>18</v>
      </c>
      <c r="C809" s="1" t="s">
        <v>19</v>
      </c>
      <c r="D809" s="1" t="s">
        <v>28</v>
      </c>
      <c r="E809" s="1" t="s">
        <v>21</v>
      </c>
      <c r="F809" s="1" t="s">
        <v>29</v>
      </c>
      <c r="G809">
        <v>5023</v>
      </c>
      <c r="H809">
        <v>4</v>
      </c>
      <c r="I809">
        <v>10046</v>
      </c>
      <c r="J809">
        <v>210966</v>
      </c>
      <c r="K809" s="1" t="s">
        <v>230</v>
      </c>
      <c r="L809" s="2">
        <v>0.71666666666666667</v>
      </c>
      <c r="M809" s="1" t="s">
        <v>31</v>
      </c>
      <c r="N809">
        <v>20092</v>
      </c>
      <c r="O809">
        <v>4761904762</v>
      </c>
      <c r="P809">
        <v>10046</v>
      </c>
      <c r="Q809">
        <v>9</v>
      </c>
    </row>
    <row r="810" spans="1:17" x14ac:dyDescent="0.25">
      <c r="A810" s="1" t="s">
        <v>933</v>
      </c>
      <c r="B810" s="1" t="s">
        <v>51</v>
      </c>
      <c r="C810" s="1" t="s">
        <v>52</v>
      </c>
      <c r="D810" s="1" t="s">
        <v>28</v>
      </c>
      <c r="E810" s="1" t="s">
        <v>21</v>
      </c>
      <c r="F810" s="1" t="s">
        <v>22</v>
      </c>
      <c r="G810">
        <v>1775</v>
      </c>
      <c r="H810">
        <v>1</v>
      </c>
      <c r="I810">
        <v>8875</v>
      </c>
      <c r="J810">
        <v>186375</v>
      </c>
      <c r="K810" s="1" t="s">
        <v>317</v>
      </c>
      <c r="L810" s="2">
        <v>0.44305555555555554</v>
      </c>
      <c r="M810" s="1" t="s">
        <v>31</v>
      </c>
      <c r="N810">
        <v>1775</v>
      </c>
      <c r="O810">
        <v>4761904762</v>
      </c>
      <c r="P810">
        <v>8875</v>
      </c>
      <c r="Q810">
        <v>86</v>
      </c>
    </row>
    <row r="811" spans="1:17" x14ac:dyDescent="0.25">
      <c r="A811" s="1" t="s">
        <v>934</v>
      </c>
      <c r="B811" s="1" t="s">
        <v>26</v>
      </c>
      <c r="C811" s="1" t="s">
        <v>27</v>
      </c>
      <c r="D811" s="1" t="s">
        <v>28</v>
      </c>
      <c r="E811" s="1" t="s">
        <v>21</v>
      </c>
      <c r="F811" s="1" t="s">
        <v>56</v>
      </c>
      <c r="G811">
        <v>6218</v>
      </c>
      <c r="H811">
        <v>10</v>
      </c>
      <c r="I811">
        <v>3109</v>
      </c>
      <c r="J811">
        <v>65289</v>
      </c>
      <c r="K811" s="1" t="s">
        <v>339</v>
      </c>
      <c r="L811" s="2">
        <v>0.43958333333333333</v>
      </c>
      <c r="M811" s="1" t="s">
        <v>24</v>
      </c>
      <c r="N811">
        <v>6218</v>
      </c>
      <c r="O811">
        <v>4761904762</v>
      </c>
      <c r="P811">
        <v>3109</v>
      </c>
      <c r="Q811">
        <v>6</v>
      </c>
    </row>
    <row r="812" spans="1:17" x14ac:dyDescent="0.25">
      <c r="A812" s="1" t="s">
        <v>935</v>
      </c>
      <c r="B812" s="1" t="s">
        <v>51</v>
      </c>
      <c r="C812" s="1" t="s">
        <v>52</v>
      </c>
      <c r="D812" s="1" t="s">
        <v>28</v>
      </c>
      <c r="E812" s="1" t="s">
        <v>33</v>
      </c>
      <c r="F812" s="1" t="s">
        <v>22</v>
      </c>
      <c r="G812">
        <v>1075</v>
      </c>
      <c r="H812">
        <v>8</v>
      </c>
      <c r="I812">
        <v>43</v>
      </c>
      <c r="J812">
        <v>903</v>
      </c>
      <c r="K812" s="1" t="s">
        <v>79</v>
      </c>
      <c r="L812" s="2">
        <v>0.60972222222222228</v>
      </c>
      <c r="M812" s="1" t="s">
        <v>24</v>
      </c>
      <c r="N812">
        <v>86</v>
      </c>
      <c r="O812">
        <v>4761904762</v>
      </c>
      <c r="P812">
        <v>43</v>
      </c>
      <c r="Q812">
        <v>62</v>
      </c>
    </row>
    <row r="813" spans="1:17" x14ac:dyDescent="0.25">
      <c r="A813" s="1" t="s">
        <v>936</v>
      </c>
      <c r="B813" s="1" t="s">
        <v>18</v>
      </c>
      <c r="C813" s="1" t="s">
        <v>19</v>
      </c>
      <c r="D813" s="1" t="s">
        <v>28</v>
      </c>
      <c r="E813" s="1" t="s">
        <v>21</v>
      </c>
      <c r="F813" s="1" t="s">
        <v>29</v>
      </c>
      <c r="G813">
        <v>4026</v>
      </c>
      <c r="H813">
        <v>10</v>
      </c>
      <c r="I813">
        <v>2013</v>
      </c>
      <c r="J813">
        <v>42273</v>
      </c>
      <c r="K813" s="1" t="s">
        <v>47</v>
      </c>
      <c r="L813" s="2">
        <v>0.75416666666666665</v>
      </c>
      <c r="M813" s="1" t="s">
        <v>36</v>
      </c>
      <c r="N813">
        <v>4026</v>
      </c>
      <c r="O813">
        <v>4761904762</v>
      </c>
      <c r="P813">
        <v>2013</v>
      </c>
      <c r="Q813">
        <v>5</v>
      </c>
    </row>
    <row r="814" spans="1:17" x14ac:dyDescent="0.25">
      <c r="A814" s="1" t="s">
        <v>937</v>
      </c>
      <c r="B814" s="1" t="s">
        <v>26</v>
      </c>
      <c r="C814" s="1" t="s">
        <v>27</v>
      </c>
      <c r="D814" s="1" t="s">
        <v>20</v>
      </c>
      <c r="E814" s="1" t="s">
        <v>21</v>
      </c>
      <c r="F814" s="1" t="s">
        <v>40</v>
      </c>
      <c r="G814">
        <v>6497</v>
      </c>
      <c r="H814">
        <v>5</v>
      </c>
      <c r="I814">
        <v>162425</v>
      </c>
      <c r="J814">
        <v>3410925</v>
      </c>
      <c r="K814" s="1" t="s">
        <v>41</v>
      </c>
      <c r="L814" s="2">
        <v>0.53611111111111109</v>
      </c>
      <c r="M814" s="1" t="s">
        <v>36</v>
      </c>
      <c r="N814">
        <v>32485</v>
      </c>
      <c r="O814">
        <v>4761904762</v>
      </c>
      <c r="P814">
        <v>162425</v>
      </c>
      <c r="Q814">
        <v>65</v>
      </c>
    </row>
    <row r="815" spans="1:17" x14ac:dyDescent="0.25">
      <c r="A815" s="1" t="s">
        <v>938</v>
      </c>
      <c r="B815" s="1" t="s">
        <v>18</v>
      </c>
      <c r="C815" s="1" t="s">
        <v>19</v>
      </c>
      <c r="D815" s="1" t="s">
        <v>28</v>
      </c>
      <c r="E815" s="1" t="s">
        <v>33</v>
      </c>
      <c r="F815" s="1" t="s">
        <v>29</v>
      </c>
      <c r="G815">
        <v>9515</v>
      </c>
      <c r="H815">
        <v>1</v>
      </c>
      <c r="I815">
        <v>47575</v>
      </c>
      <c r="J815">
        <v>999075</v>
      </c>
      <c r="K815" s="1" t="s">
        <v>85</v>
      </c>
      <c r="L815" s="2">
        <v>0.58333333333333337</v>
      </c>
      <c r="M815" s="1" t="s">
        <v>31</v>
      </c>
      <c r="N815">
        <v>9515</v>
      </c>
      <c r="O815">
        <v>4761904762</v>
      </c>
      <c r="P815">
        <v>47575</v>
      </c>
      <c r="Q815">
        <v>6</v>
      </c>
    </row>
    <row r="816" spans="1:17" x14ac:dyDescent="0.25">
      <c r="A816" s="1" t="s">
        <v>939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29</v>
      </c>
      <c r="G816">
        <v>4862</v>
      </c>
      <c r="H816">
        <v>8</v>
      </c>
      <c r="I816">
        <v>19448</v>
      </c>
      <c r="J816">
        <v>408408</v>
      </c>
      <c r="K816" s="1" t="s">
        <v>151</v>
      </c>
      <c r="L816" s="2">
        <v>0.45624999999999999</v>
      </c>
      <c r="M816" s="1" t="s">
        <v>31</v>
      </c>
      <c r="N816">
        <v>38896</v>
      </c>
      <c r="O816">
        <v>4761904762</v>
      </c>
      <c r="P816">
        <v>19448</v>
      </c>
      <c r="Q816">
        <v>5</v>
      </c>
    </row>
    <row r="817" spans="1:17" x14ac:dyDescent="0.25">
      <c r="A817" s="1" t="s">
        <v>940</v>
      </c>
      <c r="B817" s="1" t="s">
        <v>51</v>
      </c>
      <c r="C817" s="1" t="s">
        <v>52</v>
      </c>
      <c r="D817" s="1" t="s">
        <v>28</v>
      </c>
      <c r="E817" s="1" t="s">
        <v>21</v>
      </c>
      <c r="F817" s="1" t="s">
        <v>53</v>
      </c>
      <c r="G817">
        <v>5321</v>
      </c>
      <c r="H817">
        <v>8</v>
      </c>
      <c r="I817">
        <v>21284</v>
      </c>
      <c r="J817">
        <v>446964</v>
      </c>
      <c r="K817" s="1" t="s">
        <v>389</v>
      </c>
      <c r="L817" s="2">
        <v>0.69791666666666663</v>
      </c>
      <c r="M817" s="1" t="s">
        <v>24</v>
      </c>
      <c r="N817">
        <v>42568</v>
      </c>
      <c r="O817">
        <v>4761904762</v>
      </c>
      <c r="P817">
        <v>21284</v>
      </c>
      <c r="Q817">
        <v>5</v>
      </c>
    </row>
    <row r="818" spans="1:17" x14ac:dyDescent="0.25">
      <c r="A818" s="1" t="s">
        <v>941</v>
      </c>
      <c r="B818" s="1" t="s">
        <v>26</v>
      </c>
      <c r="C818" s="1" t="s">
        <v>27</v>
      </c>
      <c r="D818" s="1" t="s">
        <v>28</v>
      </c>
      <c r="E818" s="1" t="s">
        <v>21</v>
      </c>
      <c r="F818" s="1" t="s">
        <v>56</v>
      </c>
      <c r="G818">
        <v>4544</v>
      </c>
      <c r="H818">
        <v>7</v>
      </c>
      <c r="I818">
        <v>15904</v>
      </c>
      <c r="J818">
        <v>333984</v>
      </c>
      <c r="K818" s="1" t="s">
        <v>173</v>
      </c>
      <c r="L818" s="2">
        <v>0.46875</v>
      </c>
      <c r="M818" s="1" t="s">
        <v>31</v>
      </c>
      <c r="N818">
        <v>31808</v>
      </c>
      <c r="O818">
        <v>4761904762</v>
      </c>
      <c r="P818">
        <v>15904</v>
      </c>
      <c r="Q818">
        <v>92</v>
      </c>
    </row>
    <row r="819" spans="1:17" x14ac:dyDescent="0.25">
      <c r="A819" s="1" t="s">
        <v>942</v>
      </c>
      <c r="B819" s="1" t="s">
        <v>18</v>
      </c>
      <c r="C819" s="1" t="s">
        <v>19</v>
      </c>
      <c r="D819" s="1" t="s">
        <v>28</v>
      </c>
      <c r="E819" s="1" t="s">
        <v>33</v>
      </c>
      <c r="F819" s="1" t="s">
        <v>53</v>
      </c>
      <c r="G819">
        <v>3388</v>
      </c>
      <c r="H819">
        <v>8</v>
      </c>
      <c r="I819">
        <v>13552</v>
      </c>
      <c r="J819">
        <v>284592</v>
      </c>
      <c r="K819" s="1" t="s">
        <v>214</v>
      </c>
      <c r="L819" s="2">
        <v>0.85347222222222219</v>
      </c>
      <c r="M819" s="1" t="s">
        <v>24</v>
      </c>
      <c r="N819">
        <v>27104</v>
      </c>
      <c r="O819">
        <v>4761904762</v>
      </c>
      <c r="P819">
        <v>13552</v>
      </c>
      <c r="Q819">
        <v>96</v>
      </c>
    </row>
    <row r="820" spans="1:17" x14ac:dyDescent="0.25">
      <c r="A820" s="1" t="s">
        <v>943</v>
      </c>
      <c r="B820" s="1" t="s">
        <v>51</v>
      </c>
      <c r="C820" s="1" t="s">
        <v>52</v>
      </c>
      <c r="D820" s="1" t="s">
        <v>20</v>
      </c>
      <c r="E820" s="1" t="s">
        <v>33</v>
      </c>
      <c r="F820" s="1" t="s">
        <v>22</v>
      </c>
      <c r="G820">
        <v>9616</v>
      </c>
      <c r="H820">
        <v>4</v>
      </c>
      <c r="I820">
        <v>19232</v>
      </c>
      <c r="J820">
        <v>403872</v>
      </c>
      <c r="K820" s="1" t="s">
        <v>38</v>
      </c>
      <c r="L820" s="2">
        <v>0.8354166666666667</v>
      </c>
      <c r="M820" s="1" t="s">
        <v>36</v>
      </c>
      <c r="N820">
        <v>38464</v>
      </c>
      <c r="O820">
        <v>4761904762</v>
      </c>
      <c r="P820">
        <v>19232</v>
      </c>
      <c r="Q820">
        <v>84</v>
      </c>
    </row>
    <row r="821" spans="1:17" x14ac:dyDescent="0.25">
      <c r="A821" s="1" t="s">
        <v>944</v>
      </c>
      <c r="B821" s="1" t="s">
        <v>51</v>
      </c>
      <c r="C821" s="1" t="s">
        <v>52</v>
      </c>
      <c r="D821" s="1" t="s">
        <v>20</v>
      </c>
      <c r="E821" s="1" t="s">
        <v>33</v>
      </c>
      <c r="F821" s="1" t="s">
        <v>53</v>
      </c>
      <c r="G821">
        <v>4716</v>
      </c>
      <c r="H821">
        <v>5</v>
      </c>
      <c r="I821">
        <v>1179</v>
      </c>
      <c r="J821">
        <v>24759</v>
      </c>
      <c r="K821" s="1" t="s">
        <v>123</v>
      </c>
      <c r="L821" s="2">
        <v>0.60763888888888884</v>
      </c>
      <c r="M821" s="1" t="s">
        <v>36</v>
      </c>
      <c r="N821">
        <v>2358</v>
      </c>
      <c r="O821">
        <v>4761904762</v>
      </c>
      <c r="P821">
        <v>1179</v>
      </c>
      <c r="Q821">
        <v>6</v>
      </c>
    </row>
    <row r="822" spans="1:17" x14ac:dyDescent="0.25">
      <c r="A822" s="1" t="s">
        <v>945</v>
      </c>
      <c r="B822" s="1" t="s">
        <v>51</v>
      </c>
      <c r="C822" s="1" t="s">
        <v>52</v>
      </c>
      <c r="D822" s="1" t="s">
        <v>28</v>
      </c>
      <c r="E822" s="1" t="s">
        <v>33</v>
      </c>
      <c r="F822" s="1" t="s">
        <v>29</v>
      </c>
      <c r="G822">
        <v>5289</v>
      </c>
      <c r="H822">
        <v>4</v>
      </c>
      <c r="I822">
        <v>10578</v>
      </c>
      <c r="J822">
        <v>222138</v>
      </c>
      <c r="K822" s="1" t="s">
        <v>43</v>
      </c>
      <c r="L822" s="2">
        <v>0.68888888888888888</v>
      </c>
      <c r="M822" s="1" t="s">
        <v>24</v>
      </c>
      <c r="N822">
        <v>21156</v>
      </c>
      <c r="O822">
        <v>4761904762</v>
      </c>
      <c r="P822">
        <v>10578</v>
      </c>
      <c r="Q822">
        <v>67</v>
      </c>
    </row>
    <row r="823" spans="1:17" x14ac:dyDescent="0.25">
      <c r="A823" s="1" t="s">
        <v>946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34</v>
      </c>
      <c r="G823">
        <v>4768</v>
      </c>
      <c r="H823">
        <v>2</v>
      </c>
      <c r="I823">
        <v>4768</v>
      </c>
      <c r="J823">
        <v>100128</v>
      </c>
      <c r="K823" s="1" t="s">
        <v>47</v>
      </c>
      <c r="L823" s="2">
        <v>0.4236111111111111</v>
      </c>
      <c r="M823" s="1" t="s">
        <v>36</v>
      </c>
      <c r="N823">
        <v>9536</v>
      </c>
      <c r="O823">
        <v>4761904762</v>
      </c>
      <c r="P823">
        <v>4768</v>
      </c>
      <c r="Q823">
        <v>41</v>
      </c>
    </row>
    <row r="824" spans="1:17" x14ac:dyDescent="0.25">
      <c r="A824" s="1" t="s">
        <v>947</v>
      </c>
      <c r="B824" s="1" t="s">
        <v>26</v>
      </c>
      <c r="C824" s="1" t="s">
        <v>27</v>
      </c>
      <c r="D824" s="1" t="s">
        <v>20</v>
      </c>
      <c r="E824" s="1" t="s">
        <v>33</v>
      </c>
      <c r="F824" s="1" t="s">
        <v>40</v>
      </c>
      <c r="G824">
        <v>1017</v>
      </c>
      <c r="H824">
        <v>1</v>
      </c>
      <c r="I824">
        <v>5085</v>
      </c>
      <c r="J824">
        <v>106785</v>
      </c>
      <c r="K824" s="1" t="s">
        <v>63</v>
      </c>
      <c r="L824" s="2">
        <v>0.59375</v>
      </c>
      <c r="M824" s="1" t="s">
        <v>31</v>
      </c>
      <c r="N824">
        <v>1017</v>
      </c>
      <c r="O824">
        <v>4761904762</v>
      </c>
      <c r="P824">
        <v>5085</v>
      </c>
      <c r="Q824">
        <v>59</v>
      </c>
    </row>
    <row r="825" spans="1:17" x14ac:dyDescent="0.25">
      <c r="A825" s="1" t="s">
        <v>948</v>
      </c>
      <c r="B825" s="1" t="s">
        <v>18</v>
      </c>
      <c r="C825" s="1" t="s">
        <v>19</v>
      </c>
      <c r="D825" s="1" t="s">
        <v>28</v>
      </c>
      <c r="E825" s="1" t="s">
        <v>21</v>
      </c>
      <c r="F825" s="1" t="s">
        <v>22</v>
      </c>
      <c r="G825">
        <v>6871</v>
      </c>
      <c r="H825">
        <v>3</v>
      </c>
      <c r="I825">
        <v>103065</v>
      </c>
      <c r="J825">
        <v>2164365</v>
      </c>
      <c r="K825" s="1" t="s">
        <v>111</v>
      </c>
      <c r="L825" s="2">
        <v>0.4201388888888889</v>
      </c>
      <c r="M825" s="1" t="s">
        <v>31</v>
      </c>
      <c r="N825">
        <v>20613</v>
      </c>
      <c r="O825">
        <v>4761904762</v>
      </c>
      <c r="P825">
        <v>103065</v>
      </c>
      <c r="Q825">
        <v>87</v>
      </c>
    </row>
    <row r="826" spans="1:17" x14ac:dyDescent="0.25">
      <c r="A826" s="1" t="s">
        <v>949</v>
      </c>
      <c r="B826" s="1" t="s">
        <v>51</v>
      </c>
      <c r="C826" s="1" t="s">
        <v>52</v>
      </c>
      <c r="D826" s="1" t="s">
        <v>20</v>
      </c>
      <c r="E826" s="1" t="s">
        <v>21</v>
      </c>
      <c r="F826" s="1" t="s">
        <v>40</v>
      </c>
      <c r="G826">
        <v>6008</v>
      </c>
      <c r="H826">
        <v>7</v>
      </c>
      <c r="I826">
        <v>21028</v>
      </c>
      <c r="J826">
        <v>441588</v>
      </c>
      <c r="K826" s="1" t="s">
        <v>145</v>
      </c>
      <c r="L826" s="2">
        <v>0.48333333333333334</v>
      </c>
      <c r="M826" s="1" t="s">
        <v>36</v>
      </c>
      <c r="N826">
        <v>42056</v>
      </c>
      <c r="O826">
        <v>4761904762</v>
      </c>
      <c r="P826">
        <v>21028</v>
      </c>
      <c r="Q826">
        <v>45</v>
      </c>
    </row>
    <row r="827" spans="1:17" x14ac:dyDescent="0.25">
      <c r="A827" s="1" t="s">
        <v>950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40</v>
      </c>
      <c r="G827">
        <v>2201</v>
      </c>
      <c r="H827">
        <v>4</v>
      </c>
      <c r="I827">
        <v>4402</v>
      </c>
      <c r="J827">
        <v>92442</v>
      </c>
      <c r="K827" s="1" t="s">
        <v>260</v>
      </c>
      <c r="L827" s="2">
        <v>0.76041666666666663</v>
      </c>
      <c r="M827" s="1" t="s">
        <v>36</v>
      </c>
      <c r="N827">
        <v>8804</v>
      </c>
      <c r="O827">
        <v>4761904762</v>
      </c>
      <c r="P827">
        <v>4402</v>
      </c>
      <c r="Q827">
        <v>66</v>
      </c>
    </row>
    <row r="828" spans="1:17" x14ac:dyDescent="0.25">
      <c r="A828" s="1" t="s">
        <v>951</v>
      </c>
      <c r="B828" s="1" t="s">
        <v>51</v>
      </c>
      <c r="C828" s="1" t="s">
        <v>52</v>
      </c>
      <c r="D828" s="1" t="s">
        <v>20</v>
      </c>
      <c r="E828" s="1" t="s">
        <v>21</v>
      </c>
      <c r="F828" s="1" t="s">
        <v>22</v>
      </c>
      <c r="G828">
        <v>7211</v>
      </c>
      <c r="H828">
        <v>9</v>
      </c>
      <c r="I828">
        <v>324495</v>
      </c>
      <c r="J828">
        <v>6814395</v>
      </c>
      <c r="K828" s="1" t="s">
        <v>94</v>
      </c>
      <c r="L828" s="2">
        <v>0.57847222222222228</v>
      </c>
      <c r="M828" s="1" t="s">
        <v>36</v>
      </c>
      <c r="N828">
        <v>64899</v>
      </c>
      <c r="O828">
        <v>4761904762</v>
      </c>
      <c r="P828">
        <v>324495</v>
      </c>
      <c r="Q828">
        <v>77</v>
      </c>
    </row>
    <row r="829" spans="1:17" x14ac:dyDescent="0.25">
      <c r="A829" s="1" t="s">
        <v>952</v>
      </c>
      <c r="B829" s="1" t="s">
        <v>18</v>
      </c>
      <c r="C829" s="1" t="s">
        <v>19</v>
      </c>
      <c r="D829" s="1" t="s">
        <v>20</v>
      </c>
      <c r="E829" s="1" t="s">
        <v>33</v>
      </c>
      <c r="F829" s="1" t="s">
        <v>56</v>
      </c>
      <c r="G829">
        <v>4128</v>
      </c>
      <c r="H829">
        <v>3</v>
      </c>
      <c r="I829">
        <v>6192</v>
      </c>
      <c r="J829">
        <v>130032</v>
      </c>
      <c r="K829" s="1" t="s">
        <v>195</v>
      </c>
      <c r="L829" s="2">
        <v>0.77569444444444446</v>
      </c>
      <c r="M829" s="1" t="s">
        <v>36</v>
      </c>
      <c r="N829">
        <v>12384</v>
      </c>
      <c r="O829">
        <v>4761904762</v>
      </c>
      <c r="P829">
        <v>6192</v>
      </c>
      <c r="Q829">
        <v>85</v>
      </c>
    </row>
    <row r="830" spans="1:17" x14ac:dyDescent="0.25">
      <c r="A830" s="1" t="s">
        <v>953</v>
      </c>
      <c r="B830" s="1" t="s">
        <v>26</v>
      </c>
      <c r="C830" s="1" t="s">
        <v>27</v>
      </c>
      <c r="D830" s="1" t="s">
        <v>28</v>
      </c>
      <c r="E830" s="1" t="s">
        <v>33</v>
      </c>
      <c r="F830" s="1" t="s">
        <v>29</v>
      </c>
      <c r="G830">
        <v>6495</v>
      </c>
      <c r="H830">
        <v>10</v>
      </c>
      <c r="I830">
        <v>32475</v>
      </c>
      <c r="J830">
        <v>681975</v>
      </c>
      <c r="K830" s="1" t="s">
        <v>207</v>
      </c>
      <c r="L830" s="2">
        <v>0.76875000000000004</v>
      </c>
      <c r="M830" s="1" t="s">
        <v>31</v>
      </c>
      <c r="N830">
        <v>6495</v>
      </c>
      <c r="O830">
        <v>4761904762</v>
      </c>
      <c r="P830">
        <v>32475</v>
      </c>
      <c r="Q830">
        <v>52</v>
      </c>
    </row>
    <row r="831" spans="1:17" x14ac:dyDescent="0.25">
      <c r="A831" s="1" t="s">
        <v>954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29</v>
      </c>
      <c r="G831">
        <v>7422</v>
      </c>
      <c r="H831">
        <v>10</v>
      </c>
      <c r="I831">
        <v>3711</v>
      </c>
      <c r="J831">
        <v>77931</v>
      </c>
      <c r="K831" s="1" t="s">
        <v>71</v>
      </c>
      <c r="L831" s="2">
        <v>0.61250000000000004</v>
      </c>
      <c r="M831" s="1" t="s">
        <v>36</v>
      </c>
      <c r="N831">
        <v>7422</v>
      </c>
      <c r="O831">
        <v>4761904762</v>
      </c>
      <c r="P831">
        <v>3711</v>
      </c>
      <c r="Q831">
        <v>43</v>
      </c>
    </row>
    <row r="832" spans="1:17" x14ac:dyDescent="0.25">
      <c r="A832" s="1" t="s">
        <v>955</v>
      </c>
      <c r="B832" s="1" t="s">
        <v>18</v>
      </c>
      <c r="C832" s="1" t="s">
        <v>19</v>
      </c>
      <c r="D832" s="1" t="s">
        <v>28</v>
      </c>
      <c r="E832" s="1" t="s">
        <v>33</v>
      </c>
      <c r="F832" s="1" t="s">
        <v>29</v>
      </c>
      <c r="G832">
        <v>1056</v>
      </c>
      <c r="H832">
        <v>8</v>
      </c>
      <c r="I832">
        <v>4224</v>
      </c>
      <c r="J832">
        <v>88704</v>
      </c>
      <c r="K832" s="1" t="s">
        <v>151</v>
      </c>
      <c r="L832" s="2">
        <v>0.73819444444444449</v>
      </c>
      <c r="M832" s="1" t="s">
        <v>31</v>
      </c>
      <c r="N832">
        <v>8448</v>
      </c>
      <c r="O832">
        <v>4761904762</v>
      </c>
      <c r="P832">
        <v>4224</v>
      </c>
      <c r="Q832">
        <v>76</v>
      </c>
    </row>
    <row r="833" spans="1:17" x14ac:dyDescent="0.25">
      <c r="A833" s="1" t="s">
        <v>956</v>
      </c>
      <c r="B833" s="1" t="s">
        <v>51</v>
      </c>
      <c r="C833" s="1" t="s">
        <v>52</v>
      </c>
      <c r="D833" s="1" t="s">
        <v>28</v>
      </c>
      <c r="E833" s="1" t="s">
        <v>33</v>
      </c>
      <c r="F833" s="1" t="s">
        <v>22</v>
      </c>
      <c r="G833">
        <v>6257</v>
      </c>
      <c r="H833">
        <v>4</v>
      </c>
      <c r="I833">
        <v>12514</v>
      </c>
      <c r="J833">
        <v>262794</v>
      </c>
      <c r="K833" s="1" t="s">
        <v>45</v>
      </c>
      <c r="L833" s="2">
        <v>0.77569444444444446</v>
      </c>
      <c r="M833" s="1" t="s">
        <v>31</v>
      </c>
      <c r="N833">
        <v>25028</v>
      </c>
      <c r="O833">
        <v>4761904762</v>
      </c>
      <c r="P833">
        <v>12514</v>
      </c>
      <c r="Q833">
        <v>95</v>
      </c>
    </row>
    <row r="834" spans="1:17" x14ac:dyDescent="0.25">
      <c r="A834" s="1" t="s">
        <v>957</v>
      </c>
      <c r="B834" s="1" t="s">
        <v>51</v>
      </c>
      <c r="C834" s="1" t="s">
        <v>52</v>
      </c>
      <c r="D834" s="1" t="s">
        <v>20</v>
      </c>
      <c r="E834" s="1" t="s">
        <v>21</v>
      </c>
      <c r="F834" s="1" t="s">
        <v>40</v>
      </c>
      <c r="G834">
        <v>1185</v>
      </c>
      <c r="H834">
        <v>8</v>
      </c>
      <c r="I834">
        <v>474</v>
      </c>
      <c r="J834">
        <v>9954</v>
      </c>
      <c r="K834" s="1" t="s">
        <v>164</v>
      </c>
      <c r="L834" s="2">
        <v>0.69027777777777777</v>
      </c>
      <c r="M834" s="1" t="s">
        <v>31</v>
      </c>
      <c r="N834">
        <v>948</v>
      </c>
      <c r="O834">
        <v>4761904762</v>
      </c>
      <c r="P834">
        <v>474</v>
      </c>
      <c r="Q834">
        <v>41</v>
      </c>
    </row>
    <row r="835" spans="1:17" x14ac:dyDescent="0.25">
      <c r="A835" s="1" t="s">
        <v>958</v>
      </c>
      <c r="B835" s="1" t="s">
        <v>18</v>
      </c>
      <c r="C835" s="1" t="s">
        <v>19</v>
      </c>
      <c r="D835" s="1" t="s">
        <v>20</v>
      </c>
      <c r="E835" s="1" t="s">
        <v>33</v>
      </c>
      <c r="F835" s="1" t="s">
        <v>22</v>
      </c>
      <c r="G835">
        <v>913</v>
      </c>
      <c r="H835">
        <v>1</v>
      </c>
      <c r="I835">
        <v>4565</v>
      </c>
      <c r="J835">
        <v>95865</v>
      </c>
      <c r="K835" s="1" t="s">
        <v>145</v>
      </c>
      <c r="L835" s="2">
        <v>0.61250000000000004</v>
      </c>
      <c r="M835" s="1" t="s">
        <v>24</v>
      </c>
      <c r="N835">
        <v>913</v>
      </c>
      <c r="O835">
        <v>4761904762</v>
      </c>
      <c r="P835">
        <v>4565</v>
      </c>
      <c r="Q835">
        <v>92</v>
      </c>
    </row>
    <row r="836" spans="1:17" x14ac:dyDescent="0.25">
      <c r="A836" s="1" t="s">
        <v>959</v>
      </c>
      <c r="B836" s="1" t="s">
        <v>51</v>
      </c>
      <c r="C836" s="1" t="s">
        <v>52</v>
      </c>
      <c r="D836" s="1" t="s">
        <v>20</v>
      </c>
      <c r="E836" s="1" t="s">
        <v>21</v>
      </c>
      <c r="F836" s="1" t="s">
        <v>34</v>
      </c>
      <c r="G836">
        <v>4073</v>
      </c>
      <c r="H836">
        <v>7</v>
      </c>
      <c r="I836">
        <v>142555</v>
      </c>
      <c r="J836">
        <v>2993655</v>
      </c>
      <c r="K836" s="1" t="s">
        <v>137</v>
      </c>
      <c r="L836" s="2">
        <v>0.45902777777777776</v>
      </c>
      <c r="M836" s="1" t="s">
        <v>24</v>
      </c>
      <c r="N836">
        <v>28511</v>
      </c>
      <c r="O836">
        <v>4761904762</v>
      </c>
      <c r="P836">
        <v>142555</v>
      </c>
      <c r="Q836">
        <v>54</v>
      </c>
    </row>
    <row r="837" spans="1:17" x14ac:dyDescent="0.25">
      <c r="A837" s="1" t="s">
        <v>960</v>
      </c>
      <c r="B837" s="1" t="s">
        <v>18</v>
      </c>
      <c r="C837" s="1" t="s">
        <v>19</v>
      </c>
      <c r="D837" s="1" t="s">
        <v>28</v>
      </c>
      <c r="E837" s="1" t="s">
        <v>33</v>
      </c>
      <c r="F837" s="1" t="s">
        <v>56</v>
      </c>
      <c r="G837">
        <v>5238</v>
      </c>
      <c r="H837">
        <v>1</v>
      </c>
      <c r="I837">
        <v>2619</v>
      </c>
      <c r="J837">
        <v>54999</v>
      </c>
      <c r="K837" s="1" t="s">
        <v>195</v>
      </c>
      <c r="L837" s="2">
        <v>0.82222222222222219</v>
      </c>
      <c r="M837" s="1" t="s">
        <v>31</v>
      </c>
      <c r="N837">
        <v>5238</v>
      </c>
      <c r="O837">
        <v>4761904762</v>
      </c>
      <c r="P837">
        <v>2619</v>
      </c>
      <c r="Q837">
        <v>58</v>
      </c>
    </row>
    <row r="838" spans="1:17" x14ac:dyDescent="0.25">
      <c r="A838" s="1" t="s">
        <v>961</v>
      </c>
      <c r="B838" s="1" t="s">
        <v>18</v>
      </c>
      <c r="C838" s="1" t="s">
        <v>19</v>
      </c>
      <c r="D838" s="1" t="s">
        <v>20</v>
      </c>
      <c r="E838" s="1" t="s">
        <v>33</v>
      </c>
      <c r="F838" s="1" t="s">
        <v>56</v>
      </c>
      <c r="G838">
        <v>3854</v>
      </c>
      <c r="H838">
        <v>5</v>
      </c>
      <c r="I838">
        <v>9635</v>
      </c>
      <c r="J838">
        <v>202335</v>
      </c>
      <c r="K838" s="1" t="s">
        <v>164</v>
      </c>
      <c r="L838" s="2">
        <v>0.56527777777777777</v>
      </c>
      <c r="M838" s="1" t="s">
        <v>24</v>
      </c>
      <c r="N838">
        <v>1927</v>
      </c>
      <c r="O838">
        <v>4761904762</v>
      </c>
      <c r="P838">
        <v>9635</v>
      </c>
      <c r="Q838">
        <v>56</v>
      </c>
    </row>
    <row r="839" spans="1:17" x14ac:dyDescent="0.25">
      <c r="A839" s="1" t="s">
        <v>962</v>
      </c>
      <c r="B839" s="1" t="s">
        <v>51</v>
      </c>
      <c r="C839" s="1" t="s">
        <v>52</v>
      </c>
      <c r="D839" s="1" t="s">
        <v>28</v>
      </c>
      <c r="E839" s="1" t="s">
        <v>33</v>
      </c>
      <c r="F839" s="1" t="s">
        <v>40</v>
      </c>
      <c r="G839">
        <v>4463</v>
      </c>
      <c r="H839">
        <v>6</v>
      </c>
      <c r="I839">
        <v>13389</v>
      </c>
      <c r="J839">
        <v>281169</v>
      </c>
      <c r="K839" s="1" t="s">
        <v>181</v>
      </c>
      <c r="L839" s="2">
        <v>0.83888888888888891</v>
      </c>
      <c r="M839" s="1" t="s">
        <v>36</v>
      </c>
      <c r="N839">
        <v>26778</v>
      </c>
      <c r="O839">
        <v>4761904762</v>
      </c>
      <c r="P839">
        <v>13389</v>
      </c>
      <c r="Q839">
        <v>51</v>
      </c>
    </row>
    <row r="840" spans="1:17" x14ac:dyDescent="0.25">
      <c r="A840" s="1" t="s">
        <v>963</v>
      </c>
      <c r="B840" s="1" t="s">
        <v>26</v>
      </c>
      <c r="C840" s="1" t="s">
        <v>27</v>
      </c>
      <c r="D840" s="1" t="s">
        <v>28</v>
      </c>
      <c r="E840" s="1" t="s">
        <v>33</v>
      </c>
      <c r="F840" s="1" t="s">
        <v>29</v>
      </c>
      <c r="G840">
        <v>5587</v>
      </c>
      <c r="H840">
        <v>10</v>
      </c>
      <c r="I840">
        <v>27935</v>
      </c>
      <c r="J840">
        <v>586635</v>
      </c>
      <c r="K840" s="1" t="s">
        <v>67</v>
      </c>
      <c r="L840" s="2">
        <v>0.62569444444444444</v>
      </c>
      <c r="M840" s="1" t="s">
        <v>31</v>
      </c>
      <c r="N840">
        <v>5587</v>
      </c>
      <c r="O840">
        <v>4761904762</v>
      </c>
      <c r="P840">
        <v>27935</v>
      </c>
      <c r="Q840">
        <v>58</v>
      </c>
    </row>
    <row r="841" spans="1:17" x14ac:dyDescent="0.25">
      <c r="A841" s="1" t="s">
        <v>964</v>
      </c>
      <c r="B841" s="1" t="s">
        <v>26</v>
      </c>
      <c r="C841" s="1" t="s">
        <v>27</v>
      </c>
      <c r="D841" s="1" t="s">
        <v>20</v>
      </c>
      <c r="E841" s="1" t="s">
        <v>21</v>
      </c>
      <c r="F841" s="1" t="s">
        <v>40</v>
      </c>
      <c r="G841">
        <v>2922</v>
      </c>
      <c r="H841">
        <v>6</v>
      </c>
      <c r="I841">
        <v>8766</v>
      </c>
      <c r="J841">
        <v>184086</v>
      </c>
      <c r="K841" s="1" t="s">
        <v>71</v>
      </c>
      <c r="L841" s="2">
        <v>0.4861111111111111</v>
      </c>
      <c r="M841" s="1" t="s">
        <v>24</v>
      </c>
      <c r="N841">
        <v>17532</v>
      </c>
      <c r="O841">
        <v>4761904762</v>
      </c>
      <c r="P841">
        <v>8766</v>
      </c>
      <c r="Q841">
        <v>5</v>
      </c>
    </row>
    <row r="842" spans="1:17" x14ac:dyDescent="0.25">
      <c r="A842" s="1" t="s">
        <v>965</v>
      </c>
      <c r="B842" s="1" t="s">
        <v>18</v>
      </c>
      <c r="C842" s="1" t="s">
        <v>19</v>
      </c>
      <c r="D842" s="1" t="s">
        <v>28</v>
      </c>
      <c r="E842" s="1" t="s">
        <v>33</v>
      </c>
      <c r="F842" s="1" t="s">
        <v>56</v>
      </c>
      <c r="G842">
        <v>5194</v>
      </c>
      <c r="H842">
        <v>3</v>
      </c>
      <c r="I842">
        <v>7791</v>
      </c>
      <c r="J842">
        <v>163611</v>
      </c>
      <c r="K842" s="1" t="s">
        <v>139</v>
      </c>
      <c r="L842" s="2">
        <v>0.63958333333333328</v>
      </c>
      <c r="M842" s="1" t="s">
        <v>31</v>
      </c>
      <c r="N842">
        <v>15582</v>
      </c>
      <c r="O842">
        <v>4761904762</v>
      </c>
      <c r="P842">
        <v>7791</v>
      </c>
      <c r="Q842">
        <v>79</v>
      </c>
    </row>
    <row r="843" spans="1:17" x14ac:dyDescent="0.25">
      <c r="A843" s="1" t="s">
        <v>966</v>
      </c>
      <c r="B843" s="1" t="s">
        <v>51</v>
      </c>
      <c r="C843" s="1" t="s">
        <v>52</v>
      </c>
      <c r="D843" s="1" t="s">
        <v>28</v>
      </c>
      <c r="E843" s="1" t="s">
        <v>33</v>
      </c>
      <c r="F843" s="1" t="s">
        <v>29</v>
      </c>
      <c r="G843">
        <v>603</v>
      </c>
      <c r="H843">
        <v>1</v>
      </c>
      <c r="I843">
        <v>3015</v>
      </c>
      <c r="J843">
        <v>63315</v>
      </c>
      <c r="K843" s="1" t="s">
        <v>130</v>
      </c>
      <c r="L843" s="2">
        <v>0.73472222222222228</v>
      </c>
      <c r="M843" s="1" t="s">
        <v>31</v>
      </c>
      <c r="N843">
        <v>603</v>
      </c>
      <c r="O843">
        <v>4761904762</v>
      </c>
      <c r="P843">
        <v>3015</v>
      </c>
      <c r="Q843">
        <v>6</v>
      </c>
    </row>
    <row r="844" spans="1:17" x14ac:dyDescent="0.25">
      <c r="A844" s="1" t="s">
        <v>967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40</v>
      </c>
      <c r="G844">
        <v>3947</v>
      </c>
      <c r="H844">
        <v>2</v>
      </c>
      <c r="I844">
        <v>3947</v>
      </c>
      <c r="J844">
        <v>82887</v>
      </c>
      <c r="K844" s="1" t="s">
        <v>83</v>
      </c>
      <c r="L844" s="2">
        <v>0.67777777777777781</v>
      </c>
      <c r="M844" s="1" t="s">
        <v>36</v>
      </c>
      <c r="N844">
        <v>7894</v>
      </c>
      <c r="O844">
        <v>4761904762</v>
      </c>
      <c r="P844">
        <v>3947</v>
      </c>
      <c r="Q844">
        <v>5</v>
      </c>
    </row>
    <row r="845" spans="1:17" x14ac:dyDescent="0.25">
      <c r="A845" s="1" t="s">
        <v>968</v>
      </c>
      <c r="B845" s="1" t="s">
        <v>26</v>
      </c>
      <c r="C845" s="1" t="s">
        <v>27</v>
      </c>
      <c r="D845" s="1" t="s">
        <v>20</v>
      </c>
      <c r="E845" s="1" t="s">
        <v>21</v>
      </c>
      <c r="F845" s="1" t="s">
        <v>53</v>
      </c>
      <c r="G845">
        <v>1487</v>
      </c>
      <c r="H845">
        <v>2</v>
      </c>
      <c r="I845">
        <v>1487</v>
      </c>
      <c r="J845">
        <v>31227</v>
      </c>
      <c r="K845" s="1" t="s">
        <v>291</v>
      </c>
      <c r="L845" s="2">
        <v>0.76041666666666663</v>
      </c>
      <c r="M845" s="1" t="s">
        <v>36</v>
      </c>
      <c r="N845">
        <v>2974</v>
      </c>
      <c r="O845">
        <v>4761904762</v>
      </c>
      <c r="P845">
        <v>1487</v>
      </c>
      <c r="Q845">
        <v>89</v>
      </c>
    </row>
    <row r="846" spans="1:17" x14ac:dyDescent="0.25">
      <c r="A846" s="1" t="s">
        <v>969</v>
      </c>
      <c r="B846" s="1" t="s">
        <v>18</v>
      </c>
      <c r="C846" s="1" t="s">
        <v>19</v>
      </c>
      <c r="D846" s="1" t="s">
        <v>28</v>
      </c>
      <c r="E846" s="1" t="s">
        <v>33</v>
      </c>
      <c r="F846" s="1" t="s">
        <v>56</v>
      </c>
      <c r="G846">
        <v>2132</v>
      </c>
      <c r="H846">
        <v>1</v>
      </c>
      <c r="I846">
        <v>1066</v>
      </c>
      <c r="J846">
        <v>22386</v>
      </c>
      <c r="K846" s="1" t="s">
        <v>171</v>
      </c>
      <c r="L846" s="2">
        <v>0.52986111111111112</v>
      </c>
      <c r="M846" s="1" t="s">
        <v>31</v>
      </c>
      <c r="N846">
        <v>2132</v>
      </c>
      <c r="O846">
        <v>4761904762</v>
      </c>
      <c r="P846">
        <v>1066</v>
      </c>
      <c r="Q846">
        <v>59</v>
      </c>
    </row>
    <row r="847" spans="1:17" x14ac:dyDescent="0.25">
      <c r="A847" s="1" t="s">
        <v>970</v>
      </c>
      <c r="B847" s="1" t="s">
        <v>18</v>
      </c>
      <c r="C847" s="1" t="s">
        <v>19</v>
      </c>
      <c r="D847" s="1" t="s">
        <v>20</v>
      </c>
      <c r="E847" s="1" t="s">
        <v>33</v>
      </c>
      <c r="F847" s="1" t="s">
        <v>29</v>
      </c>
      <c r="G847">
        <v>9378</v>
      </c>
      <c r="H847">
        <v>3</v>
      </c>
      <c r="I847">
        <v>14067</v>
      </c>
      <c r="J847">
        <v>295407</v>
      </c>
      <c r="K847" s="1" t="s">
        <v>274</v>
      </c>
      <c r="L847" s="2">
        <v>0.48055555555555557</v>
      </c>
      <c r="M847" s="1" t="s">
        <v>36</v>
      </c>
      <c r="N847">
        <v>28134</v>
      </c>
      <c r="O847">
        <v>4761904762</v>
      </c>
      <c r="P847">
        <v>14067</v>
      </c>
      <c r="Q847">
        <v>59</v>
      </c>
    </row>
    <row r="848" spans="1:17" x14ac:dyDescent="0.25">
      <c r="A848" s="1" t="s">
        <v>971</v>
      </c>
      <c r="B848" s="1" t="s">
        <v>18</v>
      </c>
      <c r="C848" s="1" t="s">
        <v>19</v>
      </c>
      <c r="D848" s="1" t="s">
        <v>20</v>
      </c>
      <c r="E848" s="1" t="s">
        <v>33</v>
      </c>
      <c r="F848" s="1" t="s">
        <v>29</v>
      </c>
      <c r="G848">
        <v>7326</v>
      </c>
      <c r="H848">
        <v>1</v>
      </c>
      <c r="I848">
        <v>3663</v>
      </c>
      <c r="J848">
        <v>76923</v>
      </c>
      <c r="K848" s="1" t="s">
        <v>38</v>
      </c>
      <c r="L848" s="2">
        <v>0.75555555555555554</v>
      </c>
      <c r="M848" s="1" t="s">
        <v>24</v>
      </c>
      <c r="N848">
        <v>7326</v>
      </c>
      <c r="O848">
        <v>4761904762</v>
      </c>
      <c r="P848">
        <v>3663</v>
      </c>
      <c r="Q848">
        <v>97</v>
      </c>
    </row>
    <row r="849" spans="1:17" x14ac:dyDescent="0.25">
      <c r="A849" s="1" t="s">
        <v>972</v>
      </c>
      <c r="B849" s="1" t="s">
        <v>26</v>
      </c>
      <c r="C849" s="1" t="s">
        <v>27</v>
      </c>
      <c r="D849" s="1" t="s">
        <v>28</v>
      </c>
      <c r="E849" s="1" t="s">
        <v>21</v>
      </c>
      <c r="F849" s="1" t="s">
        <v>40</v>
      </c>
      <c r="G849">
        <v>2238</v>
      </c>
      <c r="H849">
        <v>1</v>
      </c>
      <c r="I849">
        <v>1119</v>
      </c>
      <c r="J849">
        <v>23499</v>
      </c>
      <c r="K849" s="1" t="s">
        <v>274</v>
      </c>
      <c r="L849" s="2">
        <v>0.71388888888888891</v>
      </c>
      <c r="M849" s="1" t="s">
        <v>36</v>
      </c>
      <c r="N849">
        <v>2238</v>
      </c>
      <c r="O849">
        <v>4761904762</v>
      </c>
      <c r="P849">
        <v>1119</v>
      </c>
      <c r="Q849">
        <v>86</v>
      </c>
    </row>
    <row r="850" spans="1:17" x14ac:dyDescent="0.25">
      <c r="A850" s="1" t="s">
        <v>973</v>
      </c>
      <c r="B850" s="1" t="s">
        <v>26</v>
      </c>
      <c r="C850" s="1" t="s">
        <v>27</v>
      </c>
      <c r="D850" s="1" t="s">
        <v>20</v>
      </c>
      <c r="E850" s="1" t="s">
        <v>21</v>
      </c>
      <c r="F850" s="1" t="s">
        <v>53</v>
      </c>
      <c r="G850">
        <v>7288</v>
      </c>
      <c r="H850">
        <v>9</v>
      </c>
      <c r="I850">
        <v>32796</v>
      </c>
      <c r="J850">
        <v>688716</v>
      </c>
      <c r="K850" s="1" t="s">
        <v>230</v>
      </c>
      <c r="L850" s="2">
        <v>0.81805555555555554</v>
      </c>
      <c r="M850" s="1" t="s">
        <v>31</v>
      </c>
      <c r="N850">
        <v>65592</v>
      </c>
      <c r="O850">
        <v>4761904762</v>
      </c>
      <c r="P850">
        <v>32796</v>
      </c>
      <c r="Q850">
        <v>4</v>
      </c>
    </row>
    <row r="851" spans="1:17" x14ac:dyDescent="0.25">
      <c r="A851" s="1" t="s">
        <v>974</v>
      </c>
      <c r="B851" s="1" t="s">
        <v>18</v>
      </c>
      <c r="C851" s="1" t="s">
        <v>19</v>
      </c>
      <c r="D851" s="1" t="s">
        <v>28</v>
      </c>
      <c r="E851" s="1" t="s">
        <v>21</v>
      </c>
      <c r="F851" s="1" t="s">
        <v>56</v>
      </c>
      <c r="G851">
        <v>991</v>
      </c>
      <c r="H851">
        <v>6</v>
      </c>
      <c r="I851">
        <v>2973</v>
      </c>
      <c r="J851">
        <v>62433</v>
      </c>
      <c r="K851" s="1" t="s">
        <v>214</v>
      </c>
      <c r="L851" s="2">
        <v>0.5493055555555556</v>
      </c>
      <c r="M851" s="1" t="s">
        <v>31</v>
      </c>
      <c r="N851">
        <v>5946</v>
      </c>
      <c r="O851">
        <v>4761904762</v>
      </c>
      <c r="P851">
        <v>2973</v>
      </c>
      <c r="Q851">
        <v>42</v>
      </c>
    </row>
    <row r="852" spans="1:17" x14ac:dyDescent="0.25">
      <c r="A852" s="1" t="s">
        <v>975</v>
      </c>
      <c r="B852" s="1" t="s">
        <v>18</v>
      </c>
      <c r="C852" s="1" t="s">
        <v>19</v>
      </c>
      <c r="D852" s="1" t="s">
        <v>28</v>
      </c>
      <c r="E852" s="1" t="s">
        <v>33</v>
      </c>
      <c r="F852" s="1" t="s">
        <v>56</v>
      </c>
      <c r="G852">
        <v>741</v>
      </c>
      <c r="H852">
        <v>1</v>
      </c>
      <c r="I852">
        <v>3705</v>
      </c>
      <c r="J852">
        <v>77805</v>
      </c>
      <c r="K852" s="1" t="s">
        <v>90</v>
      </c>
      <c r="L852" s="2">
        <v>0.46180555555555558</v>
      </c>
      <c r="M852" s="1" t="s">
        <v>31</v>
      </c>
      <c r="N852">
        <v>741</v>
      </c>
      <c r="O852">
        <v>4761904762</v>
      </c>
      <c r="P852">
        <v>3705</v>
      </c>
      <c r="Q852">
        <v>92</v>
      </c>
    </row>
    <row r="853" spans="1:17" x14ac:dyDescent="0.25">
      <c r="A853" s="1" t="s">
        <v>976</v>
      </c>
      <c r="B853" s="1" t="s">
        <v>18</v>
      </c>
      <c r="C853" s="1" t="s">
        <v>19</v>
      </c>
      <c r="D853" s="1" t="s">
        <v>28</v>
      </c>
      <c r="E853" s="1" t="s">
        <v>21</v>
      </c>
      <c r="F853" s="1" t="s">
        <v>56</v>
      </c>
      <c r="G853">
        <v>9848</v>
      </c>
      <c r="H853">
        <v>2</v>
      </c>
      <c r="I853">
        <v>9848</v>
      </c>
      <c r="J853">
        <v>206808</v>
      </c>
      <c r="K853" s="1" t="s">
        <v>489</v>
      </c>
      <c r="L853" s="2">
        <v>0.42499999999999999</v>
      </c>
      <c r="M853" s="1" t="s">
        <v>24</v>
      </c>
      <c r="N853">
        <v>19696</v>
      </c>
      <c r="O853">
        <v>4761904762</v>
      </c>
      <c r="P853">
        <v>9848</v>
      </c>
      <c r="Q853">
        <v>92</v>
      </c>
    </row>
    <row r="854" spans="1:17" x14ac:dyDescent="0.25">
      <c r="A854" s="1" t="s">
        <v>977</v>
      </c>
      <c r="B854" s="1" t="s">
        <v>26</v>
      </c>
      <c r="C854" s="1" t="s">
        <v>27</v>
      </c>
      <c r="D854" s="1" t="s">
        <v>28</v>
      </c>
      <c r="E854" s="1" t="s">
        <v>33</v>
      </c>
      <c r="F854" s="1" t="s">
        <v>22</v>
      </c>
      <c r="G854">
        <v>5319</v>
      </c>
      <c r="H854">
        <v>7</v>
      </c>
      <c r="I854">
        <v>186165</v>
      </c>
      <c r="J854">
        <v>3909465</v>
      </c>
      <c r="K854" s="1" t="s">
        <v>317</v>
      </c>
      <c r="L854" s="2">
        <v>0.65416666666666667</v>
      </c>
      <c r="M854" s="1" t="s">
        <v>24</v>
      </c>
      <c r="N854">
        <v>37233</v>
      </c>
      <c r="O854">
        <v>4761904762</v>
      </c>
      <c r="P854">
        <v>186165</v>
      </c>
      <c r="Q854">
        <v>5</v>
      </c>
    </row>
    <row r="855" spans="1:17" x14ac:dyDescent="0.25">
      <c r="A855" s="1" t="s">
        <v>978</v>
      </c>
      <c r="B855" s="1" t="s">
        <v>51</v>
      </c>
      <c r="C855" s="1" t="s">
        <v>52</v>
      </c>
      <c r="D855" s="1" t="s">
        <v>28</v>
      </c>
      <c r="E855" s="1" t="s">
        <v>21</v>
      </c>
      <c r="F855" s="1" t="s">
        <v>29</v>
      </c>
      <c r="G855">
        <v>5279</v>
      </c>
      <c r="H855">
        <v>10</v>
      </c>
      <c r="I855">
        <v>26395</v>
      </c>
      <c r="J855">
        <v>554295</v>
      </c>
      <c r="K855" s="1" t="s">
        <v>45</v>
      </c>
      <c r="L855" s="2">
        <v>0.49861111111111112</v>
      </c>
      <c r="M855" s="1" t="s">
        <v>24</v>
      </c>
      <c r="N855">
        <v>5279</v>
      </c>
      <c r="O855">
        <v>4761904762</v>
      </c>
      <c r="P855">
        <v>26395</v>
      </c>
      <c r="Q855">
        <v>10</v>
      </c>
    </row>
    <row r="856" spans="1:17" x14ac:dyDescent="0.25">
      <c r="A856" s="1" t="s">
        <v>979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>
        <v>9595</v>
      </c>
      <c r="H856">
        <v>5</v>
      </c>
      <c r="I856">
        <v>239875</v>
      </c>
      <c r="J856">
        <v>5037375</v>
      </c>
      <c r="K856" s="1" t="s">
        <v>173</v>
      </c>
      <c r="L856" s="2">
        <v>0.59791666666666665</v>
      </c>
      <c r="M856" s="1" t="s">
        <v>24</v>
      </c>
      <c r="N856">
        <v>47975</v>
      </c>
      <c r="O856">
        <v>4761904762</v>
      </c>
      <c r="P856">
        <v>239875</v>
      </c>
      <c r="Q856">
        <v>88</v>
      </c>
    </row>
    <row r="857" spans="1:17" x14ac:dyDescent="0.25">
      <c r="A857" s="1" t="s">
        <v>980</v>
      </c>
      <c r="B857" s="1" t="s">
        <v>51</v>
      </c>
      <c r="C857" s="1" t="s">
        <v>52</v>
      </c>
      <c r="D857" s="1" t="s">
        <v>28</v>
      </c>
      <c r="E857" s="1" t="s">
        <v>21</v>
      </c>
      <c r="F857" s="1" t="s">
        <v>56</v>
      </c>
      <c r="G857">
        <v>3651</v>
      </c>
      <c r="H857">
        <v>9</v>
      </c>
      <c r="I857">
        <v>164295</v>
      </c>
      <c r="J857">
        <v>3450195</v>
      </c>
      <c r="K857" s="1" t="s">
        <v>244</v>
      </c>
      <c r="L857" s="2">
        <v>0.45277777777777778</v>
      </c>
      <c r="M857" s="1" t="s">
        <v>31</v>
      </c>
      <c r="N857">
        <v>32859</v>
      </c>
      <c r="O857">
        <v>4761904762</v>
      </c>
      <c r="P857">
        <v>164295</v>
      </c>
      <c r="Q857">
        <v>42</v>
      </c>
    </row>
    <row r="858" spans="1:17" x14ac:dyDescent="0.25">
      <c r="A858" s="1" t="s">
        <v>981</v>
      </c>
      <c r="B858" s="1" t="s">
        <v>51</v>
      </c>
      <c r="C858" s="1" t="s">
        <v>52</v>
      </c>
      <c r="D858" s="1" t="s">
        <v>28</v>
      </c>
      <c r="E858" s="1" t="s">
        <v>33</v>
      </c>
      <c r="F858" s="1" t="s">
        <v>53</v>
      </c>
      <c r="G858">
        <v>2112</v>
      </c>
      <c r="H858">
        <v>8</v>
      </c>
      <c r="I858">
        <v>8448</v>
      </c>
      <c r="J858">
        <v>177408</v>
      </c>
      <c r="K858" s="1" t="s">
        <v>71</v>
      </c>
      <c r="L858" s="2">
        <v>0.81319444444444444</v>
      </c>
      <c r="M858" s="1" t="s">
        <v>31</v>
      </c>
      <c r="N858">
        <v>16896</v>
      </c>
      <c r="O858">
        <v>4761904762</v>
      </c>
      <c r="P858">
        <v>8448</v>
      </c>
      <c r="Q858">
        <v>63</v>
      </c>
    </row>
    <row r="859" spans="1:17" x14ac:dyDescent="0.25">
      <c r="A859" s="1" t="s">
        <v>982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34</v>
      </c>
      <c r="G859">
        <v>2831</v>
      </c>
      <c r="H859">
        <v>4</v>
      </c>
      <c r="I859">
        <v>5662</v>
      </c>
      <c r="J859">
        <v>118902</v>
      </c>
      <c r="K859" s="1" t="s">
        <v>128</v>
      </c>
      <c r="L859" s="2">
        <v>0.77430555555555558</v>
      </c>
      <c r="M859" s="1" t="s">
        <v>31</v>
      </c>
      <c r="N859">
        <v>11324</v>
      </c>
      <c r="O859">
        <v>4761904762</v>
      </c>
      <c r="P859">
        <v>5662</v>
      </c>
      <c r="Q859">
        <v>82</v>
      </c>
    </row>
    <row r="860" spans="1:17" x14ac:dyDescent="0.25">
      <c r="A860" s="1" t="s">
        <v>983</v>
      </c>
      <c r="B860" s="1" t="s">
        <v>51</v>
      </c>
      <c r="C860" s="1" t="s">
        <v>52</v>
      </c>
      <c r="D860" s="1" t="s">
        <v>28</v>
      </c>
      <c r="E860" s="1" t="s">
        <v>33</v>
      </c>
      <c r="F860" s="1" t="s">
        <v>22</v>
      </c>
      <c r="G860">
        <v>5759</v>
      </c>
      <c r="H860">
        <v>6</v>
      </c>
      <c r="I860">
        <v>17277</v>
      </c>
      <c r="J860">
        <v>362817</v>
      </c>
      <c r="K860" s="1" t="s">
        <v>139</v>
      </c>
      <c r="L860" s="2">
        <v>0.57708333333333328</v>
      </c>
      <c r="M860" s="1" t="s">
        <v>31</v>
      </c>
      <c r="N860">
        <v>34554</v>
      </c>
      <c r="O860">
        <v>4761904762</v>
      </c>
      <c r="P860">
        <v>17277</v>
      </c>
      <c r="Q860">
        <v>51</v>
      </c>
    </row>
    <row r="861" spans="1:17" x14ac:dyDescent="0.25">
      <c r="A861" s="1" t="s">
        <v>984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53</v>
      </c>
      <c r="G861">
        <v>4763</v>
      </c>
      <c r="H861">
        <v>9</v>
      </c>
      <c r="I861">
        <v>214335</v>
      </c>
      <c r="J861">
        <v>4501035</v>
      </c>
      <c r="K861" s="1" t="s">
        <v>173</v>
      </c>
      <c r="L861" s="2">
        <v>0.52430555555555558</v>
      </c>
      <c r="M861" s="1" t="s">
        <v>31</v>
      </c>
      <c r="N861">
        <v>42867</v>
      </c>
      <c r="O861">
        <v>4761904762</v>
      </c>
      <c r="P861">
        <v>214335</v>
      </c>
      <c r="Q861">
        <v>5</v>
      </c>
    </row>
    <row r="862" spans="1:17" x14ac:dyDescent="0.25">
      <c r="A862" s="1" t="s">
        <v>985</v>
      </c>
      <c r="B862" s="1" t="s">
        <v>26</v>
      </c>
      <c r="C862" s="1" t="s">
        <v>27</v>
      </c>
      <c r="D862" s="1" t="s">
        <v>20</v>
      </c>
      <c r="E862" s="1" t="s">
        <v>21</v>
      </c>
      <c r="F862" s="1" t="s">
        <v>34</v>
      </c>
      <c r="G862">
        <v>8627</v>
      </c>
      <c r="H862">
        <v>1</v>
      </c>
      <c r="I862">
        <v>43135</v>
      </c>
      <c r="J862">
        <v>905835</v>
      </c>
      <c r="K862" s="1" t="s">
        <v>54</v>
      </c>
      <c r="L862" s="2">
        <v>0.55833333333333335</v>
      </c>
      <c r="M862" s="1" t="s">
        <v>24</v>
      </c>
      <c r="N862">
        <v>8627</v>
      </c>
      <c r="O862">
        <v>4761904762</v>
      </c>
      <c r="P862">
        <v>43135</v>
      </c>
      <c r="Q862">
        <v>7</v>
      </c>
    </row>
    <row r="863" spans="1:17" x14ac:dyDescent="0.25">
      <c r="A863" s="1" t="s">
        <v>986</v>
      </c>
      <c r="B863" s="1" t="s">
        <v>18</v>
      </c>
      <c r="C863" s="1" t="s">
        <v>19</v>
      </c>
      <c r="D863" s="1" t="s">
        <v>20</v>
      </c>
      <c r="E863" s="1" t="s">
        <v>33</v>
      </c>
      <c r="F863" s="1" t="s">
        <v>40</v>
      </c>
      <c r="G863">
        <v>1276</v>
      </c>
      <c r="H863">
        <v>2</v>
      </c>
      <c r="I863">
        <v>1276</v>
      </c>
      <c r="J863">
        <v>26796</v>
      </c>
      <c r="K863" s="1" t="s">
        <v>230</v>
      </c>
      <c r="L863" s="2">
        <v>0.75416666666666665</v>
      </c>
      <c r="M863" s="1" t="s">
        <v>24</v>
      </c>
      <c r="N863">
        <v>2552</v>
      </c>
      <c r="O863">
        <v>4761904762</v>
      </c>
      <c r="P863">
        <v>1276</v>
      </c>
      <c r="Q863">
        <v>78</v>
      </c>
    </row>
    <row r="864" spans="1:17" x14ac:dyDescent="0.25">
      <c r="A864" s="1" t="s">
        <v>987</v>
      </c>
      <c r="B864" s="1" t="s">
        <v>51</v>
      </c>
      <c r="C864" s="1" t="s">
        <v>52</v>
      </c>
      <c r="D864" s="1" t="s">
        <v>28</v>
      </c>
      <c r="E864" s="1" t="s">
        <v>21</v>
      </c>
      <c r="F864" s="1" t="s">
        <v>34</v>
      </c>
      <c r="G864">
        <v>1128</v>
      </c>
      <c r="H864">
        <v>9</v>
      </c>
      <c r="I864">
        <v>5076</v>
      </c>
      <c r="J864">
        <v>106596</v>
      </c>
      <c r="K864" s="1" t="s">
        <v>373</v>
      </c>
      <c r="L864" s="2">
        <v>0.49652777777777779</v>
      </c>
      <c r="M864" s="1" t="s">
        <v>36</v>
      </c>
      <c r="N864">
        <v>10152</v>
      </c>
      <c r="O864">
        <v>4761904762</v>
      </c>
      <c r="P864">
        <v>5076</v>
      </c>
      <c r="Q864">
        <v>43</v>
      </c>
    </row>
    <row r="865" spans="1:17" x14ac:dyDescent="0.25">
      <c r="A865" s="1" t="s">
        <v>988</v>
      </c>
      <c r="B865" s="1" t="s">
        <v>51</v>
      </c>
      <c r="C865" s="1" t="s">
        <v>52</v>
      </c>
      <c r="D865" s="1" t="s">
        <v>28</v>
      </c>
      <c r="E865" s="1" t="s">
        <v>21</v>
      </c>
      <c r="F865" s="1" t="s">
        <v>34</v>
      </c>
      <c r="G865">
        <v>5107</v>
      </c>
      <c r="H865">
        <v>7</v>
      </c>
      <c r="I865">
        <v>178745</v>
      </c>
      <c r="J865">
        <v>3753645</v>
      </c>
      <c r="K865" s="1" t="s">
        <v>166</v>
      </c>
      <c r="L865" s="2">
        <v>0.48749999999999999</v>
      </c>
      <c r="M865" s="1" t="s">
        <v>31</v>
      </c>
      <c r="N865">
        <v>35749</v>
      </c>
      <c r="O865">
        <v>4761904762</v>
      </c>
      <c r="P865">
        <v>178745</v>
      </c>
      <c r="Q865">
        <v>7</v>
      </c>
    </row>
    <row r="866" spans="1:17" x14ac:dyDescent="0.25">
      <c r="A866" s="1" t="s">
        <v>989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29</v>
      </c>
      <c r="G866">
        <v>7959</v>
      </c>
      <c r="H866">
        <v>3</v>
      </c>
      <c r="I866">
        <v>119385</v>
      </c>
      <c r="J866">
        <v>2507085</v>
      </c>
      <c r="K866" s="1" t="s">
        <v>230</v>
      </c>
      <c r="L866" s="2">
        <v>0.60416666666666663</v>
      </c>
      <c r="M866" s="1" t="s">
        <v>31</v>
      </c>
      <c r="N866">
        <v>23877</v>
      </c>
      <c r="O866">
        <v>4761904762</v>
      </c>
      <c r="P866">
        <v>119385</v>
      </c>
      <c r="Q866">
        <v>66</v>
      </c>
    </row>
    <row r="867" spans="1:17" x14ac:dyDescent="0.25">
      <c r="A867" s="1" t="s">
        <v>990</v>
      </c>
      <c r="B867" s="1" t="s">
        <v>26</v>
      </c>
      <c r="C867" s="1" t="s">
        <v>27</v>
      </c>
      <c r="D867" s="1" t="s">
        <v>20</v>
      </c>
      <c r="E867" s="1" t="s">
        <v>33</v>
      </c>
      <c r="F867" s="1" t="s">
        <v>22</v>
      </c>
      <c r="G867">
        <v>3381</v>
      </c>
      <c r="H867">
        <v>3</v>
      </c>
      <c r="I867">
        <v>50715</v>
      </c>
      <c r="J867">
        <v>1065015</v>
      </c>
      <c r="K867" s="1" t="s">
        <v>171</v>
      </c>
      <c r="L867" s="2">
        <v>0.63263888888888886</v>
      </c>
      <c r="M867" s="1" t="s">
        <v>24</v>
      </c>
      <c r="N867">
        <v>10143</v>
      </c>
      <c r="O867">
        <v>4761904762</v>
      </c>
      <c r="P867">
        <v>50715</v>
      </c>
      <c r="Q867">
        <v>73</v>
      </c>
    </row>
    <row r="868" spans="1:17" x14ac:dyDescent="0.25">
      <c r="A868" s="1" t="s">
        <v>991</v>
      </c>
      <c r="B868" s="1" t="s">
        <v>51</v>
      </c>
      <c r="C868" s="1" t="s">
        <v>52</v>
      </c>
      <c r="D868" s="1" t="s">
        <v>20</v>
      </c>
      <c r="E868" s="1" t="s">
        <v>33</v>
      </c>
      <c r="F868" s="1" t="s">
        <v>40</v>
      </c>
      <c r="G868">
        <v>9053</v>
      </c>
      <c r="H868">
        <v>8</v>
      </c>
      <c r="I868">
        <v>36212</v>
      </c>
      <c r="J868">
        <v>760452</v>
      </c>
      <c r="K868" s="1" t="s">
        <v>79</v>
      </c>
      <c r="L868" s="2">
        <v>0.6166666666666667</v>
      </c>
      <c r="M868" s="1" t="s">
        <v>36</v>
      </c>
      <c r="N868">
        <v>72424</v>
      </c>
      <c r="O868">
        <v>4761904762</v>
      </c>
      <c r="P868">
        <v>36212</v>
      </c>
      <c r="Q868">
        <v>65</v>
      </c>
    </row>
    <row r="869" spans="1:17" x14ac:dyDescent="0.25">
      <c r="A869" s="1" t="s">
        <v>992</v>
      </c>
      <c r="B869" s="1" t="s">
        <v>26</v>
      </c>
      <c r="C869" s="1" t="s">
        <v>27</v>
      </c>
      <c r="D869" s="1" t="s">
        <v>20</v>
      </c>
      <c r="E869" s="1" t="s">
        <v>21</v>
      </c>
      <c r="F869" s="1" t="s">
        <v>22</v>
      </c>
      <c r="G869">
        <v>6282</v>
      </c>
      <c r="H869">
        <v>2</v>
      </c>
      <c r="I869">
        <v>6282</v>
      </c>
      <c r="J869">
        <v>131922</v>
      </c>
      <c r="K869" s="1" t="s">
        <v>106</v>
      </c>
      <c r="L869" s="2">
        <v>0.52500000000000002</v>
      </c>
      <c r="M869" s="1" t="s">
        <v>24</v>
      </c>
      <c r="N869">
        <v>12564</v>
      </c>
      <c r="O869">
        <v>4761904762</v>
      </c>
      <c r="P869">
        <v>6282</v>
      </c>
      <c r="Q869">
        <v>49</v>
      </c>
    </row>
    <row r="870" spans="1:17" x14ac:dyDescent="0.25">
      <c r="A870" s="1" t="s">
        <v>993</v>
      </c>
      <c r="B870" s="1" t="s">
        <v>26</v>
      </c>
      <c r="C870" s="1" t="s">
        <v>27</v>
      </c>
      <c r="D870" s="1" t="s">
        <v>20</v>
      </c>
      <c r="E870" s="1" t="s">
        <v>33</v>
      </c>
      <c r="F870" s="1" t="s">
        <v>53</v>
      </c>
      <c r="G870">
        <v>2431</v>
      </c>
      <c r="H870">
        <v>3</v>
      </c>
      <c r="I870">
        <v>36465</v>
      </c>
      <c r="J870">
        <v>765765</v>
      </c>
      <c r="K870" s="1" t="s">
        <v>230</v>
      </c>
      <c r="L870" s="2">
        <v>0.79791666666666672</v>
      </c>
      <c r="M870" s="1" t="s">
        <v>36</v>
      </c>
      <c r="N870">
        <v>7293</v>
      </c>
      <c r="O870">
        <v>4761904762</v>
      </c>
      <c r="P870">
        <v>36465</v>
      </c>
      <c r="Q870">
        <v>43</v>
      </c>
    </row>
    <row r="871" spans="1:17" x14ac:dyDescent="0.25">
      <c r="A871" s="1" t="s">
        <v>994</v>
      </c>
      <c r="B871" s="1" t="s">
        <v>18</v>
      </c>
      <c r="C871" s="1" t="s">
        <v>19</v>
      </c>
      <c r="D871" s="1" t="s">
        <v>28</v>
      </c>
      <c r="E871" s="1" t="s">
        <v>33</v>
      </c>
      <c r="F871" s="1" t="s">
        <v>40</v>
      </c>
      <c r="G871">
        <v>6459</v>
      </c>
      <c r="H871">
        <v>4</v>
      </c>
      <c r="I871">
        <v>12918</v>
      </c>
      <c r="J871">
        <v>271278</v>
      </c>
      <c r="K871" s="1" t="s">
        <v>154</v>
      </c>
      <c r="L871" s="2">
        <v>0.56597222222222221</v>
      </c>
      <c r="M871" s="1" t="s">
        <v>24</v>
      </c>
      <c r="N871">
        <v>25836</v>
      </c>
      <c r="O871">
        <v>4761904762</v>
      </c>
      <c r="P871">
        <v>12918</v>
      </c>
      <c r="Q871">
        <v>93</v>
      </c>
    </row>
    <row r="872" spans="1:17" x14ac:dyDescent="0.25">
      <c r="A872" s="1" t="s">
        <v>995</v>
      </c>
      <c r="B872" s="1" t="s">
        <v>18</v>
      </c>
      <c r="C872" s="1" t="s">
        <v>19</v>
      </c>
      <c r="D872" s="1" t="s">
        <v>20</v>
      </c>
      <c r="E872" s="1" t="s">
        <v>33</v>
      </c>
      <c r="F872" s="1" t="s">
        <v>53</v>
      </c>
      <c r="G872">
        <v>2482</v>
      </c>
      <c r="H872">
        <v>7</v>
      </c>
      <c r="I872">
        <v>8687</v>
      </c>
      <c r="J872">
        <v>182427</v>
      </c>
      <c r="K872" s="1" t="s">
        <v>244</v>
      </c>
      <c r="L872" s="2">
        <v>0.43958333333333333</v>
      </c>
      <c r="M872" s="1" t="s">
        <v>36</v>
      </c>
      <c r="N872">
        <v>17374</v>
      </c>
      <c r="O872">
        <v>4761904762</v>
      </c>
      <c r="P872">
        <v>8687</v>
      </c>
      <c r="Q872">
        <v>71</v>
      </c>
    </row>
    <row r="873" spans="1:17" x14ac:dyDescent="0.25">
      <c r="A873" s="1" t="s">
        <v>996</v>
      </c>
      <c r="B873" s="1" t="s">
        <v>26</v>
      </c>
      <c r="C873" s="1" t="s">
        <v>27</v>
      </c>
      <c r="D873" s="1" t="s">
        <v>28</v>
      </c>
      <c r="E873" s="1" t="s">
        <v>33</v>
      </c>
      <c r="F873" s="1" t="s">
        <v>56</v>
      </c>
      <c r="G873">
        <v>565</v>
      </c>
      <c r="H873">
        <v>1</v>
      </c>
      <c r="I873">
        <v>2825</v>
      </c>
      <c r="J873">
        <v>59325</v>
      </c>
      <c r="K873" s="1" t="s">
        <v>147</v>
      </c>
      <c r="L873" s="2">
        <v>0.65625</v>
      </c>
      <c r="M873" s="1" t="s">
        <v>24</v>
      </c>
      <c r="N873">
        <v>565</v>
      </c>
      <c r="O873">
        <v>4761904762</v>
      </c>
      <c r="P873">
        <v>2825</v>
      </c>
      <c r="Q873">
        <v>96</v>
      </c>
    </row>
    <row r="874" spans="1:17" x14ac:dyDescent="0.25">
      <c r="A874" s="1" t="s">
        <v>997</v>
      </c>
      <c r="B874" s="1" t="s">
        <v>51</v>
      </c>
      <c r="C874" s="1" t="s">
        <v>52</v>
      </c>
      <c r="D874" s="1" t="s">
        <v>20</v>
      </c>
      <c r="E874" s="1" t="s">
        <v>21</v>
      </c>
      <c r="F874" s="1" t="s">
        <v>29</v>
      </c>
      <c r="G874">
        <v>2143</v>
      </c>
      <c r="H874">
        <v>10</v>
      </c>
      <c r="I874">
        <v>10715</v>
      </c>
      <c r="J874">
        <v>225015</v>
      </c>
      <c r="K874" s="1" t="s">
        <v>94</v>
      </c>
      <c r="L874" s="2">
        <v>0.49375000000000002</v>
      </c>
      <c r="M874" s="1" t="s">
        <v>31</v>
      </c>
      <c r="N874">
        <v>2143</v>
      </c>
      <c r="O874">
        <v>4761904762</v>
      </c>
      <c r="P874">
        <v>10715</v>
      </c>
      <c r="Q874">
        <v>62</v>
      </c>
    </row>
    <row r="875" spans="1:17" x14ac:dyDescent="0.25">
      <c r="A875" s="1" t="s">
        <v>998</v>
      </c>
      <c r="B875" s="1" t="s">
        <v>18</v>
      </c>
      <c r="C875" s="1" t="s">
        <v>19</v>
      </c>
      <c r="D875" s="1" t="s">
        <v>20</v>
      </c>
      <c r="E875" s="1" t="s">
        <v>33</v>
      </c>
      <c r="F875" s="1" t="s">
        <v>40</v>
      </c>
      <c r="G875">
        <v>8906</v>
      </c>
      <c r="H875">
        <v>6</v>
      </c>
      <c r="I875">
        <v>26718</v>
      </c>
      <c r="J875">
        <v>561078</v>
      </c>
      <c r="K875" s="1" t="s">
        <v>241</v>
      </c>
      <c r="L875" s="2">
        <v>0.72638888888888886</v>
      </c>
      <c r="M875" s="1" t="s">
        <v>31</v>
      </c>
      <c r="N875">
        <v>53436</v>
      </c>
      <c r="O875">
        <v>4761904762</v>
      </c>
      <c r="P875">
        <v>26718</v>
      </c>
      <c r="Q875">
        <v>99</v>
      </c>
    </row>
    <row r="876" spans="1:17" x14ac:dyDescent="0.25">
      <c r="A876" s="1" t="s">
        <v>999</v>
      </c>
      <c r="B876" s="1" t="s">
        <v>18</v>
      </c>
      <c r="C876" s="1" t="s">
        <v>19</v>
      </c>
      <c r="D876" s="1" t="s">
        <v>20</v>
      </c>
      <c r="E876" s="1" t="s">
        <v>33</v>
      </c>
      <c r="F876" s="1" t="s">
        <v>34</v>
      </c>
      <c r="G876">
        <v>2329</v>
      </c>
      <c r="H876">
        <v>4</v>
      </c>
      <c r="I876">
        <v>4658</v>
      </c>
      <c r="J876">
        <v>97818</v>
      </c>
      <c r="K876" s="1" t="s">
        <v>121</v>
      </c>
      <c r="L876" s="2">
        <v>0.49444444444444446</v>
      </c>
      <c r="M876" s="1" t="s">
        <v>36</v>
      </c>
      <c r="N876">
        <v>9316</v>
      </c>
      <c r="O876">
        <v>4761904762</v>
      </c>
      <c r="P876">
        <v>4658</v>
      </c>
      <c r="Q876">
        <v>59</v>
      </c>
    </row>
    <row r="877" spans="1:17" x14ac:dyDescent="0.25">
      <c r="A877" s="1" t="s">
        <v>1000</v>
      </c>
      <c r="B877" s="1" t="s">
        <v>26</v>
      </c>
      <c r="C877" s="1" t="s">
        <v>27</v>
      </c>
      <c r="D877" s="1" t="s">
        <v>28</v>
      </c>
      <c r="E877" s="1" t="s">
        <v>33</v>
      </c>
      <c r="F877" s="1" t="s">
        <v>34</v>
      </c>
      <c r="G877">
        <v>6526</v>
      </c>
      <c r="H877">
        <v>8</v>
      </c>
      <c r="I877">
        <v>26104</v>
      </c>
      <c r="J877">
        <v>548184</v>
      </c>
      <c r="K877" s="1" t="s">
        <v>79</v>
      </c>
      <c r="L877" s="2">
        <v>0.58611111111111114</v>
      </c>
      <c r="M877" s="1" t="s">
        <v>24</v>
      </c>
      <c r="N877">
        <v>52208</v>
      </c>
      <c r="O877">
        <v>4761904762</v>
      </c>
      <c r="P877">
        <v>26104</v>
      </c>
      <c r="Q877">
        <v>63</v>
      </c>
    </row>
    <row r="878" spans="1:17" x14ac:dyDescent="0.25">
      <c r="A878" s="1" t="s">
        <v>1001</v>
      </c>
      <c r="B878" s="1" t="s">
        <v>26</v>
      </c>
      <c r="C878" s="1" t="s">
        <v>27</v>
      </c>
      <c r="D878" s="1" t="s">
        <v>20</v>
      </c>
      <c r="E878" s="1" t="s">
        <v>33</v>
      </c>
      <c r="F878" s="1" t="s">
        <v>56</v>
      </c>
      <c r="G878">
        <v>5235</v>
      </c>
      <c r="H878">
        <v>1</v>
      </c>
      <c r="I878">
        <v>26175</v>
      </c>
      <c r="J878">
        <v>549675</v>
      </c>
      <c r="K878" s="1" t="s">
        <v>61</v>
      </c>
      <c r="L878" s="2">
        <v>0.74236111111111114</v>
      </c>
      <c r="M878" s="1" t="s">
        <v>31</v>
      </c>
      <c r="N878">
        <v>5235</v>
      </c>
      <c r="O878">
        <v>4761904762</v>
      </c>
      <c r="P878">
        <v>26175</v>
      </c>
      <c r="Q878">
        <v>4</v>
      </c>
    </row>
    <row r="879" spans="1:17" x14ac:dyDescent="0.25">
      <c r="A879" s="1" t="s">
        <v>1002</v>
      </c>
      <c r="B879" s="1" t="s">
        <v>51</v>
      </c>
      <c r="C879" s="1" t="s">
        <v>52</v>
      </c>
      <c r="D879" s="1" t="s">
        <v>20</v>
      </c>
      <c r="E879" s="1" t="s">
        <v>33</v>
      </c>
      <c r="F879" s="1" t="s">
        <v>29</v>
      </c>
      <c r="G879">
        <v>3975</v>
      </c>
      <c r="H879">
        <v>1</v>
      </c>
      <c r="I879">
        <v>19875</v>
      </c>
      <c r="J879">
        <v>417375</v>
      </c>
      <c r="K879" s="1" t="s">
        <v>45</v>
      </c>
      <c r="L879" s="2">
        <v>0.84652777777777777</v>
      </c>
      <c r="M879" s="1" t="s">
        <v>31</v>
      </c>
      <c r="N879">
        <v>3975</v>
      </c>
      <c r="O879">
        <v>4761904762</v>
      </c>
      <c r="P879">
        <v>19875</v>
      </c>
      <c r="Q879">
        <v>61</v>
      </c>
    </row>
    <row r="880" spans="1:17" x14ac:dyDescent="0.25">
      <c r="A880" s="1" t="s">
        <v>1003</v>
      </c>
      <c r="B880" s="1" t="s">
        <v>18</v>
      </c>
      <c r="C880" s="1" t="s">
        <v>19</v>
      </c>
      <c r="D880" s="1" t="s">
        <v>28</v>
      </c>
      <c r="E880" s="1" t="s">
        <v>21</v>
      </c>
      <c r="F880" s="1" t="s">
        <v>29</v>
      </c>
      <c r="G880">
        <v>9002</v>
      </c>
      <c r="H880">
        <v>8</v>
      </c>
      <c r="I880">
        <v>36008</v>
      </c>
      <c r="J880">
        <v>756168</v>
      </c>
      <c r="K880" s="1" t="s">
        <v>288</v>
      </c>
      <c r="L880" s="2">
        <v>0.67222222222222228</v>
      </c>
      <c r="M880" s="1" t="s">
        <v>36</v>
      </c>
      <c r="N880">
        <v>72016</v>
      </c>
      <c r="O880">
        <v>4761904762</v>
      </c>
      <c r="P880">
        <v>36008</v>
      </c>
      <c r="Q880">
        <v>45</v>
      </c>
    </row>
    <row r="881" spans="1:17" x14ac:dyDescent="0.25">
      <c r="A881" s="1" t="s">
        <v>1004</v>
      </c>
      <c r="B881" s="1" t="s">
        <v>51</v>
      </c>
      <c r="C881" s="1" t="s">
        <v>52</v>
      </c>
      <c r="D881" s="1" t="s">
        <v>20</v>
      </c>
      <c r="E881" s="1" t="s">
        <v>21</v>
      </c>
      <c r="F881" s="1" t="s">
        <v>29</v>
      </c>
      <c r="G881">
        <v>121</v>
      </c>
      <c r="H881">
        <v>8</v>
      </c>
      <c r="I881">
        <v>484</v>
      </c>
      <c r="J881">
        <v>10164</v>
      </c>
      <c r="K881" s="1" t="s">
        <v>214</v>
      </c>
      <c r="L881" s="2">
        <v>0.4284722222222222</v>
      </c>
      <c r="M881" s="1" t="s">
        <v>24</v>
      </c>
      <c r="N881">
        <v>968</v>
      </c>
      <c r="O881">
        <v>4761904762</v>
      </c>
      <c r="P881">
        <v>484</v>
      </c>
      <c r="Q881">
        <v>86</v>
      </c>
    </row>
    <row r="882" spans="1:17" x14ac:dyDescent="0.25">
      <c r="A882" s="1" t="s">
        <v>1005</v>
      </c>
      <c r="B882" s="1" t="s">
        <v>51</v>
      </c>
      <c r="C882" s="1" t="s">
        <v>52</v>
      </c>
      <c r="D882" s="1" t="s">
        <v>20</v>
      </c>
      <c r="E882" s="1" t="s">
        <v>21</v>
      </c>
      <c r="F882" s="1" t="s">
        <v>53</v>
      </c>
      <c r="G882">
        <v>3321</v>
      </c>
      <c r="H882">
        <v>10</v>
      </c>
      <c r="I882">
        <v>16605</v>
      </c>
      <c r="J882">
        <v>348705</v>
      </c>
      <c r="K882" s="1" t="s">
        <v>230</v>
      </c>
      <c r="L882" s="2">
        <v>0.60069444444444442</v>
      </c>
      <c r="M882" s="1" t="s">
        <v>24</v>
      </c>
      <c r="N882">
        <v>3321</v>
      </c>
      <c r="O882">
        <v>4761904762</v>
      </c>
      <c r="P882">
        <v>16605</v>
      </c>
      <c r="Q882">
        <v>6</v>
      </c>
    </row>
    <row r="883" spans="1:17" x14ac:dyDescent="0.25">
      <c r="A883" s="1" t="s">
        <v>1006</v>
      </c>
      <c r="B883" s="1" t="s">
        <v>26</v>
      </c>
      <c r="C883" s="1" t="s">
        <v>27</v>
      </c>
      <c r="D883" s="1" t="s">
        <v>20</v>
      </c>
      <c r="E883" s="1" t="s">
        <v>21</v>
      </c>
      <c r="F883" s="1" t="s">
        <v>56</v>
      </c>
      <c r="G883">
        <v>1018</v>
      </c>
      <c r="H883">
        <v>8</v>
      </c>
      <c r="I883">
        <v>4072</v>
      </c>
      <c r="J883">
        <v>85512</v>
      </c>
      <c r="K883" s="1" t="s">
        <v>268</v>
      </c>
      <c r="L883" s="2">
        <v>0.53541666666666665</v>
      </c>
      <c r="M883" s="1" t="s">
        <v>36</v>
      </c>
      <c r="N883">
        <v>8144</v>
      </c>
      <c r="O883">
        <v>4761904762</v>
      </c>
      <c r="P883">
        <v>4072</v>
      </c>
      <c r="Q883">
        <v>95</v>
      </c>
    </row>
    <row r="884" spans="1:17" x14ac:dyDescent="0.25">
      <c r="A884" s="1" t="s">
        <v>1007</v>
      </c>
      <c r="B884" s="1" t="s">
        <v>51</v>
      </c>
      <c r="C884" s="1" t="s">
        <v>52</v>
      </c>
      <c r="D884" s="1" t="s">
        <v>20</v>
      </c>
      <c r="E884" s="1" t="s">
        <v>33</v>
      </c>
      <c r="F884" s="1" t="s">
        <v>40</v>
      </c>
      <c r="G884">
        <v>3199</v>
      </c>
      <c r="H884">
        <v>10</v>
      </c>
      <c r="I884">
        <v>15995</v>
      </c>
      <c r="J884">
        <v>335895</v>
      </c>
      <c r="K884" s="1" t="s">
        <v>54</v>
      </c>
      <c r="L884" s="2">
        <v>0.63749999999999996</v>
      </c>
      <c r="M884" s="1" t="s">
        <v>36</v>
      </c>
      <c r="N884">
        <v>3199</v>
      </c>
      <c r="O884">
        <v>4761904762</v>
      </c>
      <c r="P884">
        <v>15995</v>
      </c>
      <c r="Q884">
        <v>99</v>
      </c>
    </row>
    <row r="885" spans="1:17" x14ac:dyDescent="0.25">
      <c r="A885" s="1" t="s">
        <v>1008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34</v>
      </c>
      <c r="G885">
        <v>3442</v>
      </c>
      <c r="H885">
        <v>6</v>
      </c>
      <c r="I885">
        <v>10326</v>
      </c>
      <c r="J885">
        <v>216846</v>
      </c>
      <c r="K885" s="1" t="s">
        <v>268</v>
      </c>
      <c r="L885" s="2">
        <v>0.53125</v>
      </c>
      <c r="M885" s="1" t="s">
        <v>24</v>
      </c>
      <c r="N885">
        <v>20652</v>
      </c>
      <c r="O885">
        <v>4761904762</v>
      </c>
      <c r="P885">
        <v>10326</v>
      </c>
      <c r="Q885">
        <v>75</v>
      </c>
    </row>
    <row r="886" spans="1:17" x14ac:dyDescent="0.25">
      <c r="A886" s="1" t="s">
        <v>1009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53</v>
      </c>
      <c r="G886">
        <v>8334</v>
      </c>
      <c r="H886">
        <v>2</v>
      </c>
      <c r="I886">
        <v>8334</v>
      </c>
      <c r="J886">
        <v>175014</v>
      </c>
      <c r="K886" s="1" t="s">
        <v>121</v>
      </c>
      <c r="L886" s="2">
        <v>0.56736111111111109</v>
      </c>
      <c r="M886" s="1" t="s">
        <v>31</v>
      </c>
      <c r="N886">
        <v>16668</v>
      </c>
      <c r="O886">
        <v>4761904762</v>
      </c>
      <c r="P886">
        <v>8334</v>
      </c>
      <c r="Q886">
        <v>76</v>
      </c>
    </row>
    <row r="887" spans="1:17" x14ac:dyDescent="0.25">
      <c r="A887" s="1" t="s">
        <v>1010</v>
      </c>
      <c r="B887" s="1" t="s">
        <v>18</v>
      </c>
      <c r="C887" s="1" t="s">
        <v>19</v>
      </c>
      <c r="D887" s="1" t="s">
        <v>28</v>
      </c>
      <c r="E887" s="1" t="s">
        <v>33</v>
      </c>
      <c r="F887" s="1" t="s">
        <v>40</v>
      </c>
      <c r="G887">
        <v>4558</v>
      </c>
      <c r="H887">
        <v>7</v>
      </c>
      <c r="I887">
        <v>15953</v>
      </c>
      <c r="J887">
        <v>335013</v>
      </c>
      <c r="K887" s="1" t="s">
        <v>162</v>
      </c>
      <c r="L887" s="2">
        <v>0.41875000000000001</v>
      </c>
      <c r="M887" s="1" t="s">
        <v>31</v>
      </c>
      <c r="N887">
        <v>31906</v>
      </c>
      <c r="O887">
        <v>4761904762</v>
      </c>
      <c r="P887">
        <v>15953</v>
      </c>
      <c r="Q887">
        <v>5</v>
      </c>
    </row>
    <row r="888" spans="1:17" x14ac:dyDescent="0.25">
      <c r="A888" s="1" t="s">
        <v>1011</v>
      </c>
      <c r="B888" s="1" t="s">
        <v>18</v>
      </c>
      <c r="C888" s="1" t="s">
        <v>19</v>
      </c>
      <c r="D888" s="1" t="s">
        <v>20</v>
      </c>
      <c r="E888" s="1" t="s">
        <v>33</v>
      </c>
      <c r="F888" s="1" t="s">
        <v>53</v>
      </c>
      <c r="G888">
        <v>879</v>
      </c>
      <c r="H888">
        <v>1</v>
      </c>
      <c r="I888">
        <v>4395</v>
      </c>
      <c r="J888">
        <v>92295</v>
      </c>
      <c r="K888" s="1" t="s">
        <v>210</v>
      </c>
      <c r="L888" s="2">
        <v>0.8208333333333333</v>
      </c>
      <c r="M888" s="1" t="s">
        <v>24</v>
      </c>
      <c r="N888">
        <v>879</v>
      </c>
      <c r="O888">
        <v>4761904762</v>
      </c>
      <c r="P888">
        <v>4395</v>
      </c>
      <c r="Q888">
        <v>67</v>
      </c>
    </row>
    <row r="889" spans="1:17" x14ac:dyDescent="0.25">
      <c r="A889" s="1" t="s">
        <v>1012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29</v>
      </c>
      <c r="G889">
        <v>7347</v>
      </c>
      <c r="H889">
        <v>10</v>
      </c>
      <c r="I889">
        <v>36735</v>
      </c>
      <c r="J889">
        <v>771435</v>
      </c>
      <c r="K889" s="1" t="s">
        <v>103</v>
      </c>
      <c r="L889" s="2">
        <v>0.55138888888888893</v>
      </c>
      <c r="M889" s="1" t="s">
        <v>24</v>
      </c>
      <c r="N889">
        <v>7347</v>
      </c>
      <c r="O889">
        <v>4761904762</v>
      </c>
      <c r="P889">
        <v>36735</v>
      </c>
      <c r="Q889">
        <v>95</v>
      </c>
    </row>
    <row r="890" spans="1:17" x14ac:dyDescent="0.25">
      <c r="A890" s="1" t="s">
        <v>1013</v>
      </c>
      <c r="B890" s="1" t="s">
        <v>26</v>
      </c>
      <c r="C890" s="1" t="s">
        <v>27</v>
      </c>
      <c r="D890" s="1" t="s">
        <v>28</v>
      </c>
      <c r="E890" s="1" t="s">
        <v>21</v>
      </c>
      <c r="F890" s="1" t="s">
        <v>56</v>
      </c>
      <c r="G890">
        <v>1219</v>
      </c>
      <c r="H890">
        <v>8</v>
      </c>
      <c r="I890">
        <v>4876</v>
      </c>
      <c r="J890">
        <v>102396</v>
      </c>
      <c r="K890" s="1" t="s">
        <v>147</v>
      </c>
      <c r="L890" s="2">
        <v>0.53263888888888888</v>
      </c>
      <c r="M890" s="1" t="s">
        <v>24</v>
      </c>
      <c r="N890">
        <v>9752</v>
      </c>
      <c r="O890">
        <v>4761904762</v>
      </c>
      <c r="P890">
        <v>4876</v>
      </c>
      <c r="Q890">
        <v>68</v>
      </c>
    </row>
    <row r="891" spans="1:17" x14ac:dyDescent="0.25">
      <c r="A891" s="1" t="s">
        <v>1014</v>
      </c>
      <c r="B891" s="1" t="s">
        <v>18</v>
      </c>
      <c r="C891" s="1" t="s">
        <v>19</v>
      </c>
      <c r="D891" s="1" t="s">
        <v>20</v>
      </c>
      <c r="E891" s="1" t="s">
        <v>33</v>
      </c>
      <c r="F891" s="1" t="s">
        <v>40</v>
      </c>
      <c r="G891">
        <v>7692</v>
      </c>
      <c r="H891">
        <v>10</v>
      </c>
      <c r="I891">
        <v>3846</v>
      </c>
      <c r="J891">
        <v>80766</v>
      </c>
      <c r="K891" s="1" t="s">
        <v>373</v>
      </c>
      <c r="L891" s="2">
        <v>0.82847222222222228</v>
      </c>
      <c r="M891" s="1" t="s">
        <v>24</v>
      </c>
      <c r="N891">
        <v>7692</v>
      </c>
      <c r="O891">
        <v>4761904762</v>
      </c>
      <c r="P891">
        <v>3846</v>
      </c>
      <c r="Q891">
        <v>56</v>
      </c>
    </row>
    <row r="892" spans="1:17" x14ac:dyDescent="0.25">
      <c r="A892" s="1" t="s">
        <v>1015</v>
      </c>
      <c r="B892" s="1" t="s">
        <v>26</v>
      </c>
      <c r="C892" s="1" t="s">
        <v>27</v>
      </c>
      <c r="D892" s="1" t="s">
        <v>28</v>
      </c>
      <c r="E892" s="1" t="s">
        <v>21</v>
      </c>
      <c r="F892" s="1" t="s">
        <v>22</v>
      </c>
      <c r="G892">
        <v>8366</v>
      </c>
      <c r="H892">
        <v>5</v>
      </c>
      <c r="I892">
        <v>20915</v>
      </c>
      <c r="J892">
        <v>439215</v>
      </c>
      <c r="K892" s="1" t="s">
        <v>335</v>
      </c>
      <c r="L892" s="2">
        <v>0.43472222222222223</v>
      </c>
      <c r="M892" s="1" t="s">
        <v>31</v>
      </c>
      <c r="N892">
        <v>4183</v>
      </c>
      <c r="O892">
        <v>4761904762</v>
      </c>
      <c r="P892">
        <v>20915</v>
      </c>
      <c r="Q892">
        <v>72</v>
      </c>
    </row>
    <row r="893" spans="1:17" x14ac:dyDescent="0.25">
      <c r="A893" s="1" t="s">
        <v>1016</v>
      </c>
      <c r="B893" s="1" t="s">
        <v>51</v>
      </c>
      <c r="C893" s="1" t="s">
        <v>52</v>
      </c>
      <c r="D893" s="1" t="s">
        <v>28</v>
      </c>
      <c r="E893" s="1" t="s">
        <v>21</v>
      </c>
      <c r="F893" s="1" t="s">
        <v>29</v>
      </c>
      <c r="G893">
        <v>5791</v>
      </c>
      <c r="H893">
        <v>8</v>
      </c>
      <c r="I893">
        <v>23164</v>
      </c>
      <c r="J893">
        <v>486444</v>
      </c>
      <c r="K893" s="1" t="s">
        <v>63</v>
      </c>
      <c r="L893" s="2">
        <v>0.62916666666666665</v>
      </c>
      <c r="M893" s="1" t="s">
        <v>31</v>
      </c>
      <c r="N893">
        <v>46328</v>
      </c>
      <c r="O893">
        <v>4761904762</v>
      </c>
      <c r="P893">
        <v>23164</v>
      </c>
      <c r="Q893">
        <v>81</v>
      </c>
    </row>
    <row r="894" spans="1:17" x14ac:dyDescent="0.25">
      <c r="A894" s="1" t="s">
        <v>1017</v>
      </c>
      <c r="B894" s="1" t="s">
        <v>26</v>
      </c>
      <c r="C894" s="1" t="s">
        <v>27</v>
      </c>
      <c r="D894" s="1" t="s">
        <v>20</v>
      </c>
      <c r="E894" s="1" t="s">
        <v>21</v>
      </c>
      <c r="F894" s="1" t="s">
        <v>56</v>
      </c>
      <c r="G894">
        <v>9249</v>
      </c>
      <c r="H894">
        <v>5</v>
      </c>
      <c r="I894">
        <v>231225</v>
      </c>
      <c r="J894">
        <v>4855725</v>
      </c>
      <c r="K894" s="1" t="s">
        <v>83</v>
      </c>
      <c r="L894" s="2">
        <v>0.69097222222222221</v>
      </c>
      <c r="M894" s="1" t="s">
        <v>36</v>
      </c>
      <c r="N894">
        <v>46245</v>
      </c>
      <c r="O894">
        <v>4761904762</v>
      </c>
      <c r="P894">
        <v>231225</v>
      </c>
      <c r="Q894">
        <v>86</v>
      </c>
    </row>
    <row r="895" spans="1:17" x14ac:dyDescent="0.25">
      <c r="A895" s="1" t="s">
        <v>1018</v>
      </c>
      <c r="B895" s="1" t="s">
        <v>51</v>
      </c>
      <c r="C895" s="1" t="s">
        <v>52</v>
      </c>
      <c r="D895" s="1" t="s">
        <v>28</v>
      </c>
      <c r="E895" s="1" t="s">
        <v>33</v>
      </c>
      <c r="F895" s="1" t="s">
        <v>29</v>
      </c>
      <c r="G895">
        <v>2838</v>
      </c>
      <c r="H895">
        <v>5</v>
      </c>
      <c r="I895">
        <v>7095</v>
      </c>
      <c r="J895">
        <v>148995</v>
      </c>
      <c r="K895" s="1" t="s">
        <v>143</v>
      </c>
      <c r="L895" s="2">
        <v>0.87291666666666667</v>
      </c>
      <c r="M895" s="1" t="s">
        <v>31</v>
      </c>
      <c r="N895">
        <v>1419</v>
      </c>
      <c r="O895">
        <v>4761904762</v>
      </c>
      <c r="P895">
        <v>7095</v>
      </c>
      <c r="Q895">
        <v>94</v>
      </c>
    </row>
    <row r="896" spans="1:17" x14ac:dyDescent="0.25">
      <c r="A896" s="1" t="s">
        <v>1019</v>
      </c>
      <c r="B896" s="1" t="s">
        <v>51</v>
      </c>
      <c r="C896" s="1" t="s">
        <v>52</v>
      </c>
      <c r="D896" s="1" t="s">
        <v>20</v>
      </c>
      <c r="E896" s="1" t="s">
        <v>33</v>
      </c>
      <c r="F896" s="1" t="s">
        <v>29</v>
      </c>
      <c r="G896">
        <v>5045</v>
      </c>
      <c r="H896">
        <v>6</v>
      </c>
      <c r="I896">
        <v>15135</v>
      </c>
      <c r="J896">
        <v>317835</v>
      </c>
      <c r="K896" s="1" t="s">
        <v>57</v>
      </c>
      <c r="L896" s="2">
        <v>0.63611111111111107</v>
      </c>
      <c r="M896" s="1" t="s">
        <v>36</v>
      </c>
      <c r="N896">
        <v>3027</v>
      </c>
      <c r="O896">
        <v>4761904762</v>
      </c>
      <c r="P896">
        <v>15135</v>
      </c>
      <c r="Q896">
        <v>89</v>
      </c>
    </row>
    <row r="897" spans="1:17" x14ac:dyDescent="0.25">
      <c r="A897" s="1" t="s">
        <v>1020</v>
      </c>
      <c r="B897" s="1" t="s">
        <v>51</v>
      </c>
      <c r="C897" s="1" t="s">
        <v>52</v>
      </c>
      <c r="D897" s="1" t="s">
        <v>28</v>
      </c>
      <c r="E897" s="1" t="s">
        <v>33</v>
      </c>
      <c r="F897" s="1" t="s">
        <v>22</v>
      </c>
      <c r="G897">
        <v>9916</v>
      </c>
      <c r="H897">
        <v>8</v>
      </c>
      <c r="I897">
        <v>39664</v>
      </c>
      <c r="J897">
        <v>832944</v>
      </c>
      <c r="K897" s="1" t="s">
        <v>94</v>
      </c>
      <c r="L897" s="2">
        <v>0.74097222222222225</v>
      </c>
      <c r="M897" s="1" t="s">
        <v>36</v>
      </c>
      <c r="N897">
        <v>79328</v>
      </c>
      <c r="O897">
        <v>4761904762</v>
      </c>
      <c r="P897">
        <v>39664</v>
      </c>
      <c r="Q897">
        <v>42</v>
      </c>
    </row>
    <row r="898" spans="1:17" x14ac:dyDescent="0.25">
      <c r="A898" s="1" t="s">
        <v>1021</v>
      </c>
      <c r="B898" s="1" t="s">
        <v>26</v>
      </c>
      <c r="C898" s="1" t="s">
        <v>27</v>
      </c>
      <c r="D898" s="1" t="s">
        <v>28</v>
      </c>
      <c r="E898" s="1" t="s">
        <v>33</v>
      </c>
      <c r="F898" s="1" t="s">
        <v>56</v>
      </c>
      <c r="G898">
        <v>6074</v>
      </c>
      <c r="H898">
        <v>7</v>
      </c>
      <c r="I898">
        <v>21259</v>
      </c>
      <c r="J898">
        <v>446439</v>
      </c>
      <c r="K898" s="1" t="s">
        <v>241</v>
      </c>
      <c r="L898" s="2">
        <v>0.68263888888888891</v>
      </c>
      <c r="M898" s="1" t="s">
        <v>24</v>
      </c>
      <c r="N898">
        <v>42518</v>
      </c>
      <c r="O898">
        <v>4761904762</v>
      </c>
      <c r="P898">
        <v>21259</v>
      </c>
      <c r="Q898">
        <v>5</v>
      </c>
    </row>
    <row r="899" spans="1:17" x14ac:dyDescent="0.25">
      <c r="A899" s="1" t="s">
        <v>1022</v>
      </c>
      <c r="B899" s="1" t="s">
        <v>26</v>
      </c>
      <c r="C899" s="1" t="s">
        <v>27</v>
      </c>
      <c r="D899" s="1" t="s">
        <v>20</v>
      </c>
      <c r="E899" s="1" t="s">
        <v>21</v>
      </c>
      <c r="F899" s="1" t="s">
        <v>53</v>
      </c>
      <c r="G899">
        <v>4727</v>
      </c>
      <c r="H899">
        <v>6</v>
      </c>
      <c r="I899">
        <v>14181</v>
      </c>
      <c r="J899">
        <v>297801</v>
      </c>
      <c r="K899" s="1" t="s">
        <v>210</v>
      </c>
      <c r="L899" s="2">
        <v>0.4284722222222222</v>
      </c>
      <c r="M899" s="1" t="s">
        <v>31</v>
      </c>
      <c r="N899">
        <v>28362</v>
      </c>
      <c r="O899">
        <v>4761904762</v>
      </c>
      <c r="P899">
        <v>14181</v>
      </c>
      <c r="Q899">
        <v>88</v>
      </c>
    </row>
    <row r="900" spans="1:17" x14ac:dyDescent="0.25">
      <c r="A900" s="1" t="s">
        <v>1023</v>
      </c>
      <c r="B900" s="1" t="s">
        <v>26</v>
      </c>
      <c r="C900" s="1" t="s">
        <v>27</v>
      </c>
      <c r="D900" s="1" t="s">
        <v>20</v>
      </c>
      <c r="E900" s="1" t="s">
        <v>33</v>
      </c>
      <c r="F900" s="1" t="s">
        <v>22</v>
      </c>
      <c r="G900">
        <v>856</v>
      </c>
      <c r="H900">
        <v>7</v>
      </c>
      <c r="I900">
        <v>2996</v>
      </c>
      <c r="J900">
        <v>62916</v>
      </c>
      <c r="K900" s="1" t="s">
        <v>83</v>
      </c>
      <c r="L900" s="2">
        <v>0.57638888888888884</v>
      </c>
      <c r="M900" s="1" t="s">
        <v>31</v>
      </c>
      <c r="N900">
        <v>5992</v>
      </c>
      <c r="O900">
        <v>4761904762</v>
      </c>
      <c r="P900">
        <v>2996</v>
      </c>
      <c r="Q900">
        <v>53</v>
      </c>
    </row>
    <row r="901" spans="1:17" x14ac:dyDescent="0.25">
      <c r="A901" s="1" t="s">
        <v>1024</v>
      </c>
      <c r="B901" s="1" t="s">
        <v>18</v>
      </c>
      <c r="C901" s="1" t="s">
        <v>19</v>
      </c>
      <c r="D901" s="1" t="s">
        <v>20</v>
      </c>
      <c r="E901" s="1" t="s">
        <v>33</v>
      </c>
      <c r="F901" s="1" t="s">
        <v>53</v>
      </c>
      <c r="G901">
        <v>3504</v>
      </c>
      <c r="H901">
        <v>9</v>
      </c>
      <c r="I901">
        <v>15768</v>
      </c>
      <c r="J901">
        <v>331128</v>
      </c>
      <c r="K901" s="1" t="s">
        <v>191</v>
      </c>
      <c r="L901" s="2">
        <v>0.80347222222222225</v>
      </c>
      <c r="M901" s="1" t="s">
        <v>24</v>
      </c>
      <c r="N901">
        <v>31536</v>
      </c>
      <c r="O901">
        <v>4761904762</v>
      </c>
      <c r="P901">
        <v>15768</v>
      </c>
      <c r="Q901">
        <v>46</v>
      </c>
    </row>
    <row r="902" spans="1:17" x14ac:dyDescent="0.25">
      <c r="A902" s="1" t="s">
        <v>1025</v>
      </c>
      <c r="B902" s="1" t="s">
        <v>26</v>
      </c>
      <c r="C902" s="1" t="s">
        <v>27</v>
      </c>
      <c r="D902" s="1" t="s">
        <v>20</v>
      </c>
      <c r="E902" s="1" t="s">
        <v>21</v>
      </c>
      <c r="F902" s="1" t="s">
        <v>29</v>
      </c>
      <c r="G902">
        <v>4484</v>
      </c>
      <c r="H902">
        <v>9</v>
      </c>
      <c r="I902">
        <v>20178</v>
      </c>
      <c r="J902">
        <v>423738</v>
      </c>
      <c r="K902" s="1" t="s">
        <v>317</v>
      </c>
      <c r="L902" s="2">
        <v>0.58333333333333337</v>
      </c>
      <c r="M902" s="1" t="s">
        <v>36</v>
      </c>
      <c r="N902">
        <v>40356</v>
      </c>
      <c r="O902">
        <v>4761904762</v>
      </c>
      <c r="P902">
        <v>20178</v>
      </c>
      <c r="Q902">
        <v>75</v>
      </c>
    </row>
    <row r="903" spans="1:17" x14ac:dyDescent="0.25">
      <c r="A903" s="1" t="s">
        <v>1026</v>
      </c>
      <c r="B903" s="1" t="s">
        <v>51</v>
      </c>
      <c r="C903" s="1" t="s">
        <v>52</v>
      </c>
      <c r="D903" s="1" t="s">
        <v>28</v>
      </c>
      <c r="E903" s="1" t="s">
        <v>33</v>
      </c>
      <c r="F903" s="1" t="s">
        <v>34</v>
      </c>
      <c r="G903">
        <v>4597</v>
      </c>
      <c r="H903">
        <v>4</v>
      </c>
      <c r="I903">
        <v>9194</v>
      </c>
      <c r="J903">
        <v>193074</v>
      </c>
      <c r="K903" s="1" t="s">
        <v>191</v>
      </c>
      <c r="L903" s="2">
        <v>0.50138888888888888</v>
      </c>
      <c r="M903" s="1" t="s">
        <v>24</v>
      </c>
      <c r="N903">
        <v>18388</v>
      </c>
      <c r="O903">
        <v>4761904762</v>
      </c>
      <c r="P903">
        <v>9194</v>
      </c>
      <c r="Q903">
        <v>51</v>
      </c>
    </row>
    <row r="904" spans="1:17" x14ac:dyDescent="0.25">
      <c r="A904" s="1" t="s">
        <v>1027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>
        <v>2773</v>
      </c>
      <c r="H904">
        <v>5</v>
      </c>
      <c r="I904">
        <v>69325</v>
      </c>
      <c r="J904">
        <v>1455825</v>
      </c>
      <c r="K904" s="1" t="s">
        <v>195</v>
      </c>
      <c r="L904" s="2">
        <v>0.84791666666666665</v>
      </c>
      <c r="M904" s="1" t="s">
        <v>36</v>
      </c>
      <c r="N904">
        <v>13865</v>
      </c>
      <c r="O904">
        <v>4761904762</v>
      </c>
      <c r="P904">
        <v>69325</v>
      </c>
      <c r="Q904">
        <v>42</v>
      </c>
    </row>
    <row r="905" spans="1:17" x14ac:dyDescent="0.25">
      <c r="A905" s="1" t="s">
        <v>1028</v>
      </c>
      <c r="B905" s="1" t="s">
        <v>18</v>
      </c>
      <c r="C905" s="1" t="s">
        <v>19</v>
      </c>
      <c r="D905" s="1" t="s">
        <v>28</v>
      </c>
      <c r="E905" s="1" t="s">
        <v>33</v>
      </c>
      <c r="F905" s="1" t="s">
        <v>53</v>
      </c>
      <c r="G905">
        <v>1153</v>
      </c>
      <c r="H905">
        <v>7</v>
      </c>
      <c r="I905">
        <v>40355</v>
      </c>
      <c r="J905">
        <v>847455</v>
      </c>
      <c r="K905" s="1" t="s">
        <v>94</v>
      </c>
      <c r="L905" s="2">
        <v>0.73263888888888884</v>
      </c>
      <c r="M905" s="1" t="s">
        <v>31</v>
      </c>
      <c r="N905">
        <v>8071</v>
      </c>
      <c r="O905">
        <v>4761904762</v>
      </c>
      <c r="P905">
        <v>40355</v>
      </c>
      <c r="Q905">
        <v>81</v>
      </c>
    </row>
    <row r="906" spans="1:17" x14ac:dyDescent="0.25">
      <c r="A906" s="1" t="s">
        <v>1029</v>
      </c>
      <c r="B906" s="1" t="s">
        <v>26</v>
      </c>
      <c r="C906" s="1" t="s">
        <v>27</v>
      </c>
      <c r="D906" s="1" t="s">
        <v>28</v>
      </c>
      <c r="E906" s="1" t="s">
        <v>21</v>
      </c>
      <c r="F906" s="1" t="s">
        <v>22</v>
      </c>
      <c r="G906">
        <v>5832</v>
      </c>
      <c r="H906">
        <v>2</v>
      </c>
      <c r="I906">
        <v>5832</v>
      </c>
      <c r="J906">
        <v>122472</v>
      </c>
      <c r="K906" s="1" t="s">
        <v>145</v>
      </c>
      <c r="L906" s="2">
        <v>0.52916666666666667</v>
      </c>
      <c r="M906" s="1" t="s">
        <v>24</v>
      </c>
      <c r="N906">
        <v>11664</v>
      </c>
      <c r="O906">
        <v>4761904762</v>
      </c>
      <c r="P906">
        <v>5832</v>
      </c>
      <c r="Q906">
        <v>6</v>
      </c>
    </row>
    <row r="907" spans="1:17" x14ac:dyDescent="0.25">
      <c r="A907" s="1" t="s">
        <v>1030</v>
      </c>
      <c r="B907" s="1" t="s">
        <v>26</v>
      </c>
      <c r="C907" s="1" t="s">
        <v>27</v>
      </c>
      <c r="D907" s="1" t="s">
        <v>20</v>
      </c>
      <c r="E907" s="1" t="s">
        <v>21</v>
      </c>
      <c r="F907" s="1" t="s">
        <v>34</v>
      </c>
      <c r="G907">
        <v>7838</v>
      </c>
      <c r="H907">
        <v>4</v>
      </c>
      <c r="I907">
        <v>15676</v>
      </c>
      <c r="J907">
        <v>329196</v>
      </c>
      <c r="K907" s="1" t="s">
        <v>207</v>
      </c>
      <c r="L907" s="2">
        <v>0.74722222222222223</v>
      </c>
      <c r="M907" s="1" t="s">
        <v>31</v>
      </c>
      <c r="N907">
        <v>31352</v>
      </c>
      <c r="O907">
        <v>4761904762</v>
      </c>
      <c r="P907">
        <v>15676</v>
      </c>
      <c r="Q907">
        <v>79</v>
      </c>
    </row>
    <row r="908" spans="1:17" x14ac:dyDescent="0.25">
      <c r="A908" s="1" t="s">
        <v>1031</v>
      </c>
      <c r="B908" s="1" t="s">
        <v>26</v>
      </c>
      <c r="C908" s="1" t="s">
        <v>27</v>
      </c>
      <c r="D908" s="1" t="s">
        <v>28</v>
      </c>
      <c r="E908" s="1" t="s">
        <v>33</v>
      </c>
      <c r="F908" s="1" t="s">
        <v>22</v>
      </c>
      <c r="G908">
        <v>8461</v>
      </c>
      <c r="H908">
        <v>10</v>
      </c>
      <c r="I908">
        <v>42305</v>
      </c>
      <c r="J908">
        <v>888405</v>
      </c>
      <c r="K908" s="1" t="s">
        <v>191</v>
      </c>
      <c r="L908" s="2">
        <v>0.79027777777777775</v>
      </c>
      <c r="M908" s="1" t="s">
        <v>36</v>
      </c>
      <c r="N908">
        <v>8461</v>
      </c>
      <c r="O908">
        <v>4761904762</v>
      </c>
      <c r="P908">
        <v>42305</v>
      </c>
      <c r="Q908">
        <v>88</v>
      </c>
    </row>
    <row r="909" spans="1:17" x14ac:dyDescent="0.25">
      <c r="A909" s="1" t="s">
        <v>1032</v>
      </c>
      <c r="B909" s="1" t="s">
        <v>51</v>
      </c>
      <c r="C909" s="1" t="s">
        <v>52</v>
      </c>
      <c r="D909" s="1" t="s">
        <v>28</v>
      </c>
      <c r="E909" s="1" t="s">
        <v>21</v>
      </c>
      <c r="F909" s="1" t="s">
        <v>22</v>
      </c>
      <c r="G909">
        <v>8288</v>
      </c>
      <c r="H909">
        <v>5</v>
      </c>
      <c r="I909">
        <v>2072</v>
      </c>
      <c r="J909">
        <v>43512</v>
      </c>
      <c r="K909" s="1" t="s">
        <v>207</v>
      </c>
      <c r="L909" s="2">
        <v>0.58888888888888891</v>
      </c>
      <c r="M909" s="1" t="s">
        <v>36</v>
      </c>
      <c r="N909">
        <v>4144</v>
      </c>
      <c r="O909">
        <v>4761904762</v>
      </c>
      <c r="P909">
        <v>2072</v>
      </c>
      <c r="Q909">
        <v>66</v>
      </c>
    </row>
    <row r="910" spans="1:17" x14ac:dyDescent="0.25">
      <c r="A910" s="1" t="s">
        <v>1033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53</v>
      </c>
      <c r="G910">
        <v>7954</v>
      </c>
      <c r="H910">
        <v>2</v>
      </c>
      <c r="I910">
        <v>7954</v>
      </c>
      <c r="J910">
        <v>167034</v>
      </c>
      <c r="K910" s="1" t="s">
        <v>132</v>
      </c>
      <c r="L910" s="2">
        <v>0.6875</v>
      </c>
      <c r="M910" s="1" t="s">
        <v>24</v>
      </c>
      <c r="N910">
        <v>15908</v>
      </c>
      <c r="O910">
        <v>4761904762</v>
      </c>
      <c r="P910">
        <v>7954</v>
      </c>
      <c r="Q910">
        <v>62</v>
      </c>
    </row>
    <row r="911" spans="1:17" x14ac:dyDescent="0.25">
      <c r="A911" s="1" t="s">
        <v>1034</v>
      </c>
      <c r="B911" s="1" t="s">
        <v>51</v>
      </c>
      <c r="C911" s="1" t="s">
        <v>52</v>
      </c>
      <c r="D911" s="1" t="s">
        <v>28</v>
      </c>
      <c r="E911" s="1" t="s">
        <v>21</v>
      </c>
      <c r="F911" s="1" t="s">
        <v>34</v>
      </c>
      <c r="G911">
        <v>4901</v>
      </c>
      <c r="H911">
        <v>10</v>
      </c>
      <c r="I911">
        <v>24505</v>
      </c>
      <c r="J911">
        <v>514605</v>
      </c>
      <c r="K911" s="1" t="s">
        <v>38</v>
      </c>
      <c r="L911" s="2">
        <v>0.44722222222222224</v>
      </c>
      <c r="M911" s="1" t="s">
        <v>36</v>
      </c>
      <c r="N911">
        <v>4901</v>
      </c>
      <c r="O911">
        <v>4761904762</v>
      </c>
      <c r="P911">
        <v>24505</v>
      </c>
      <c r="Q911">
        <v>42</v>
      </c>
    </row>
    <row r="912" spans="1:17" x14ac:dyDescent="0.25">
      <c r="A912" s="1" t="s">
        <v>1035</v>
      </c>
      <c r="B912" s="1" t="s">
        <v>51</v>
      </c>
      <c r="C912" s="1" t="s">
        <v>52</v>
      </c>
      <c r="D912" s="1" t="s">
        <v>20</v>
      </c>
      <c r="E912" s="1" t="s">
        <v>21</v>
      </c>
      <c r="F912" s="1" t="s">
        <v>53</v>
      </c>
      <c r="G912">
        <v>2915</v>
      </c>
      <c r="H912">
        <v>3</v>
      </c>
      <c r="I912">
        <v>43725</v>
      </c>
      <c r="J912">
        <v>918225</v>
      </c>
      <c r="K912" s="1" t="s">
        <v>132</v>
      </c>
      <c r="L912" s="2">
        <v>0.85347222222222219</v>
      </c>
      <c r="M912" s="1" t="s">
        <v>36</v>
      </c>
      <c r="N912">
        <v>8745</v>
      </c>
      <c r="O912">
        <v>4761904762</v>
      </c>
      <c r="P912">
        <v>43725</v>
      </c>
      <c r="Q912">
        <v>73</v>
      </c>
    </row>
    <row r="913" spans="1:17" x14ac:dyDescent="0.25">
      <c r="A913" s="1" t="s">
        <v>1036</v>
      </c>
      <c r="B913" s="1" t="s">
        <v>26</v>
      </c>
      <c r="C913" s="1" t="s">
        <v>27</v>
      </c>
      <c r="D913" s="1" t="s">
        <v>28</v>
      </c>
      <c r="E913" s="1" t="s">
        <v>21</v>
      </c>
      <c r="F913" s="1" t="s">
        <v>29</v>
      </c>
      <c r="G913">
        <v>5613</v>
      </c>
      <c r="H913">
        <v>4</v>
      </c>
      <c r="I913">
        <v>11226</v>
      </c>
      <c r="J913">
        <v>235746</v>
      </c>
      <c r="K913" s="1" t="s">
        <v>214</v>
      </c>
      <c r="L913" s="2">
        <v>0.48819444444444443</v>
      </c>
      <c r="M913" s="1" t="s">
        <v>24</v>
      </c>
      <c r="N913">
        <v>22452</v>
      </c>
      <c r="O913">
        <v>4761904762</v>
      </c>
      <c r="P913">
        <v>11226</v>
      </c>
      <c r="Q913">
        <v>86</v>
      </c>
    </row>
    <row r="914" spans="1:17" x14ac:dyDescent="0.25">
      <c r="A914" s="1" t="s">
        <v>1037</v>
      </c>
      <c r="B914" s="1" t="s">
        <v>18</v>
      </c>
      <c r="C914" s="1" t="s">
        <v>19</v>
      </c>
      <c r="D914" s="1" t="s">
        <v>28</v>
      </c>
      <c r="E914" s="1" t="s">
        <v>21</v>
      </c>
      <c r="F914" s="1" t="s">
        <v>34</v>
      </c>
      <c r="G914">
        <v>9312</v>
      </c>
      <c r="H914">
        <v>8</v>
      </c>
      <c r="I914">
        <v>37248</v>
      </c>
      <c r="J914">
        <v>782208</v>
      </c>
      <c r="K914" s="1" t="s">
        <v>63</v>
      </c>
      <c r="L914" s="2">
        <v>0.42291666666666666</v>
      </c>
      <c r="M914" s="1" t="s">
        <v>31</v>
      </c>
      <c r="N914">
        <v>74496</v>
      </c>
      <c r="O914">
        <v>4761904762</v>
      </c>
      <c r="P914">
        <v>37248</v>
      </c>
      <c r="Q914">
        <v>68</v>
      </c>
    </row>
    <row r="915" spans="1:17" x14ac:dyDescent="0.25">
      <c r="A915" s="1" t="s">
        <v>1038</v>
      </c>
      <c r="B915" s="1" t="s">
        <v>18</v>
      </c>
      <c r="C915" s="1" t="s">
        <v>19</v>
      </c>
      <c r="D915" s="1" t="s">
        <v>20</v>
      </c>
      <c r="E915" s="1" t="s">
        <v>33</v>
      </c>
      <c r="F915" s="1" t="s">
        <v>56</v>
      </c>
      <c r="G915">
        <v>5134</v>
      </c>
      <c r="H915">
        <v>8</v>
      </c>
      <c r="I915">
        <v>20536</v>
      </c>
      <c r="J915">
        <v>431256</v>
      </c>
      <c r="K915" s="1" t="s">
        <v>339</v>
      </c>
      <c r="L915" s="2">
        <v>0.41666666666666669</v>
      </c>
      <c r="M915" s="1" t="s">
        <v>24</v>
      </c>
      <c r="N915">
        <v>41072</v>
      </c>
      <c r="O915">
        <v>4761904762</v>
      </c>
      <c r="P915">
        <v>20536</v>
      </c>
      <c r="Q915">
        <v>76</v>
      </c>
    </row>
    <row r="916" spans="1:17" x14ac:dyDescent="0.25">
      <c r="A916" s="1" t="s">
        <v>1039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53</v>
      </c>
      <c r="G916">
        <v>996</v>
      </c>
      <c r="H916">
        <v>3</v>
      </c>
      <c r="I916">
        <v>1494</v>
      </c>
      <c r="J916">
        <v>31374</v>
      </c>
      <c r="K916" s="1" t="s">
        <v>45</v>
      </c>
      <c r="L916" s="2">
        <v>0.78125</v>
      </c>
      <c r="M916" s="1" t="s">
        <v>31</v>
      </c>
      <c r="N916">
        <v>2988</v>
      </c>
      <c r="O916">
        <v>4761904762</v>
      </c>
      <c r="P916">
        <v>1494</v>
      </c>
      <c r="Q916">
        <v>58</v>
      </c>
    </row>
    <row r="917" spans="1:17" x14ac:dyDescent="0.25">
      <c r="A917" s="1" t="s">
        <v>1040</v>
      </c>
      <c r="B917" s="1" t="s">
        <v>26</v>
      </c>
      <c r="C917" s="1" t="s">
        <v>27</v>
      </c>
      <c r="D917" s="1" t="s">
        <v>28</v>
      </c>
      <c r="E917" s="1" t="s">
        <v>21</v>
      </c>
      <c r="F917" s="1" t="s">
        <v>29</v>
      </c>
      <c r="G917">
        <v>3549</v>
      </c>
      <c r="H917">
        <v>6</v>
      </c>
      <c r="I917">
        <v>10647</v>
      </c>
      <c r="J917">
        <v>223587</v>
      </c>
      <c r="K917" s="1" t="s">
        <v>108</v>
      </c>
      <c r="L917" s="2">
        <v>0.52777777777777779</v>
      </c>
      <c r="M917" s="1" t="s">
        <v>31</v>
      </c>
      <c r="N917">
        <v>21294</v>
      </c>
      <c r="O917">
        <v>4761904762</v>
      </c>
      <c r="P917">
        <v>10647</v>
      </c>
      <c r="Q917">
        <v>41</v>
      </c>
    </row>
    <row r="918" spans="1:17" x14ac:dyDescent="0.25">
      <c r="A918" s="1" t="s">
        <v>1041</v>
      </c>
      <c r="B918" s="1" t="s">
        <v>26</v>
      </c>
      <c r="C918" s="1" t="s">
        <v>27</v>
      </c>
      <c r="D918" s="1" t="s">
        <v>20</v>
      </c>
      <c r="E918" s="1" t="s">
        <v>33</v>
      </c>
      <c r="F918" s="1" t="s">
        <v>40</v>
      </c>
      <c r="G918">
        <v>4285</v>
      </c>
      <c r="H918">
        <v>1</v>
      </c>
      <c r="I918">
        <v>21425</v>
      </c>
      <c r="J918">
        <v>449925</v>
      </c>
      <c r="K918" s="1" t="s">
        <v>389</v>
      </c>
      <c r="L918" s="2">
        <v>0.65</v>
      </c>
      <c r="M918" s="1" t="s">
        <v>36</v>
      </c>
      <c r="N918">
        <v>4285</v>
      </c>
      <c r="O918">
        <v>4761904762</v>
      </c>
      <c r="P918">
        <v>21425</v>
      </c>
      <c r="Q918">
        <v>93</v>
      </c>
    </row>
    <row r="919" spans="1:17" x14ac:dyDescent="0.25">
      <c r="A919" s="1" t="s">
        <v>1042</v>
      </c>
      <c r="B919" s="1" t="s">
        <v>18</v>
      </c>
      <c r="C919" s="1" t="s">
        <v>19</v>
      </c>
      <c r="D919" s="1" t="s">
        <v>28</v>
      </c>
      <c r="E919" s="1" t="s">
        <v>21</v>
      </c>
      <c r="F919" s="1" t="s">
        <v>56</v>
      </c>
      <c r="G919">
        <v>9467</v>
      </c>
      <c r="H919">
        <v>4</v>
      </c>
      <c r="I919">
        <v>18934</v>
      </c>
      <c r="J919">
        <v>397614</v>
      </c>
      <c r="K919" s="1" t="s">
        <v>69</v>
      </c>
      <c r="L919" s="2">
        <v>0.50277777777777777</v>
      </c>
      <c r="M919" s="1" t="s">
        <v>31</v>
      </c>
      <c r="N919">
        <v>37868</v>
      </c>
      <c r="O919">
        <v>4761904762</v>
      </c>
      <c r="P919">
        <v>18934</v>
      </c>
      <c r="Q919">
        <v>68</v>
      </c>
    </row>
    <row r="920" spans="1:17" x14ac:dyDescent="0.25">
      <c r="A920" s="1" t="s">
        <v>1043</v>
      </c>
      <c r="B920" s="1" t="s">
        <v>51</v>
      </c>
      <c r="C920" s="1" t="s">
        <v>52</v>
      </c>
      <c r="D920" s="1" t="s">
        <v>28</v>
      </c>
      <c r="E920" s="1" t="s">
        <v>33</v>
      </c>
      <c r="F920" s="1" t="s">
        <v>34</v>
      </c>
      <c r="G920">
        <v>6897</v>
      </c>
      <c r="H920">
        <v>3</v>
      </c>
      <c r="I920">
        <v>103455</v>
      </c>
      <c r="J920">
        <v>2172555</v>
      </c>
      <c r="K920" s="1" t="s">
        <v>250</v>
      </c>
      <c r="L920" s="2">
        <v>0.47638888888888886</v>
      </c>
      <c r="M920" s="1" t="s">
        <v>24</v>
      </c>
      <c r="N920">
        <v>20691</v>
      </c>
      <c r="O920">
        <v>4761904762</v>
      </c>
      <c r="P920">
        <v>103455</v>
      </c>
      <c r="Q920">
        <v>87</v>
      </c>
    </row>
    <row r="921" spans="1:17" x14ac:dyDescent="0.25">
      <c r="A921" s="1" t="s">
        <v>1044</v>
      </c>
      <c r="B921" s="1" t="s">
        <v>51</v>
      </c>
      <c r="C921" s="1" t="s">
        <v>52</v>
      </c>
      <c r="D921" s="1" t="s">
        <v>20</v>
      </c>
      <c r="E921" s="1" t="s">
        <v>21</v>
      </c>
      <c r="F921" s="1" t="s">
        <v>29</v>
      </c>
      <c r="G921">
        <v>2626</v>
      </c>
      <c r="H921">
        <v>3</v>
      </c>
      <c r="I921">
        <v>3939</v>
      </c>
      <c r="J921">
        <v>82719</v>
      </c>
      <c r="K921" s="1" t="s">
        <v>83</v>
      </c>
      <c r="L921" s="2">
        <v>0.52500000000000002</v>
      </c>
      <c r="M921" s="1" t="s">
        <v>24</v>
      </c>
      <c r="N921">
        <v>7878</v>
      </c>
      <c r="O921">
        <v>4761904762</v>
      </c>
      <c r="P921">
        <v>3939</v>
      </c>
      <c r="Q921">
        <v>63</v>
      </c>
    </row>
    <row r="922" spans="1:17" x14ac:dyDescent="0.25">
      <c r="A922" s="1" t="s">
        <v>1045</v>
      </c>
      <c r="B922" s="1" t="s">
        <v>26</v>
      </c>
      <c r="C922" s="1" t="s">
        <v>27</v>
      </c>
      <c r="D922" s="1" t="s">
        <v>20</v>
      </c>
      <c r="E922" s="1" t="s">
        <v>21</v>
      </c>
      <c r="F922" s="1" t="s">
        <v>34</v>
      </c>
      <c r="G922">
        <v>3579</v>
      </c>
      <c r="H922">
        <v>9</v>
      </c>
      <c r="I922">
        <v>161055</v>
      </c>
      <c r="J922">
        <v>3382155</v>
      </c>
      <c r="K922" s="1" t="s">
        <v>88</v>
      </c>
      <c r="L922" s="2">
        <v>0.62916666666666665</v>
      </c>
      <c r="M922" s="1" t="s">
        <v>36</v>
      </c>
      <c r="N922">
        <v>32211</v>
      </c>
      <c r="O922">
        <v>4761904762</v>
      </c>
      <c r="P922">
        <v>161055</v>
      </c>
      <c r="Q922">
        <v>51</v>
      </c>
    </row>
    <row r="923" spans="1:17" x14ac:dyDescent="0.25">
      <c r="A923" s="1" t="s">
        <v>1046</v>
      </c>
      <c r="B923" s="1" t="s">
        <v>51</v>
      </c>
      <c r="C923" s="1" t="s">
        <v>52</v>
      </c>
      <c r="D923" s="1" t="s">
        <v>28</v>
      </c>
      <c r="E923" s="1" t="s">
        <v>21</v>
      </c>
      <c r="F923" s="1" t="s">
        <v>34</v>
      </c>
      <c r="G923">
        <v>1637</v>
      </c>
      <c r="H923">
        <v>6</v>
      </c>
      <c r="I923">
        <v>4911</v>
      </c>
      <c r="J923">
        <v>103131</v>
      </c>
      <c r="K923" s="1" t="s">
        <v>41</v>
      </c>
      <c r="L923" s="2">
        <v>0.45694444444444443</v>
      </c>
      <c r="M923" s="1" t="s">
        <v>31</v>
      </c>
      <c r="N923">
        <v>9822</v>
      </c>
      <c r="O923">
        <v>4761904762</v>
      </c>
      <c r="P923">
        <v>4911</v>
      </c>
      <c r="Q923">
        <v>7</v>
      </c>
    </row>
    <row r="924" spans="1:17" x14ac:dyDescent="0.25">
      <c r="A924" s="1" t="s">
        <v>1047</v>
      </c>
      <c r="B924" s="1" t="s">
        <v>26</v>
      </c>
      <c r="C924" s="1" t="s">
        <v>27</v>
      </c>
      <c r="D924" s="1" t="s">
        <v>20</v>
      </c>
      <c r="E924" s="1" t="s">
        <v>21</v>
      </c>
      <c r="F924" s="1" t="s">
        <v>34</v>
      </c>
      <c r="G924">
        <v>1273</v>
      </c>
      <c r="H924">
        <v>2</v>
      </c>
      <c r="I924">
        <v>1273</v>
      </c>
      <c r="J924">
        <v>26733</v>
      </c>
      <c r="K924" s="1" t="s">
        <v>250</v>
      </c>
      <c r="L924" s="2">
        <v>0.50694444444444442</v>
      </c>
      <c r="M924" s="1" t="s">
        <v>36</v>
      </c>
      <c r="N924">
        <v>2546</v>
      </c>
      <c r="O924">
        <v>4761904762</v>
      </c>
      <c r="P924">
        <v>1273</v>
      </c>
      <c r="Q924">
        <v>52</v>
      </c>
    </row>
    <row r="925" spans="1:17" x14ac:dyDescent="0.25">
      <c r="A925" s="1" t="s">
        <v>1048</v>
      </c>
      <c r="B925" s="1" t="s">
        <v>26</v>
      </c>
      <c r="C925" s="1" t="s">
        <v>27</v>
      </c>
      <c r="D925" s="1" t="s">
        <v>28</v>
      </c>
      <c r="E925" s="1" t="s">
        <v>21</v>
      </c>
      <c r="F925" s="1" t="s">
        <v>40</v>
      </c>
      <c r="G925">
        <v>8314</v>
      </c>
      <c r="H925">
        <v>7</v>
      </c>
      <c r="I925">
        <v>29099</v>
      </c>
      <c r="J925">
        <v>611079</v>
      </c>
      <c r="K925" s="1" t="s">
        <v>49</v>
      </c>
      <c r="L925" s="2">
        <v>0.43819444444444444</v>
      </c>
      <c r="M925" s="1" t="s">
        <v>36</v>
      </c>
      <c r="N925">
        <v>58198</v>
      </c>
      <c r="O925">
        <v>4761904762</v>
      </c>
      <c r="P925">
        <v>29099</v>
      </c>
      <c r="Q925">
        <v>66</v>
      </c>
    </row>
    <row r="926" spans="1:17" x14ac:dyDescent="0.25">
      <c r="A926" s="1" t="s">
        <v>1049</v>
      </c>
      <c r="B926" s="1" t="s">
        <v>26</v>
      </c>
      <c r="C926" s="1" t="s">
        <v>27</v>
      </c>
      <c r="D926" s="1" t="s">
        <v>20</v>
      </c>
      <c r="E926" s="1" t="s">
        <v>21</v>
      </c>
      <c r="F926" s="1" t="s">
        <v>40</v>
      </c>
      <c r="G926">
        <v>3522</v>
      </c>
      <c r="H926">
        <v>6</v>
      </c>
      <c r="I926">
        <v>10566</v>
      </c>
      <c r="J926">
        <v>221886</v>
      </c>
      <c r="K926" s="1" t="s">
        <v>389</v>
      </c>
      <c r="L926" s="2">
        <v>0.5756944444444444</v>
      </c>
      <c r="M926" s="1" t="s">
        <v>24</v>
      </c>
      <c r="N926">
        <v>21132</v>
      </c>
      <c r="O926">
        <v>4761904762</v>
      </c>
      <c r="P926">
        <v>10566</v>
      </c>
      <c r="Q926">
        <v>65</v>
      </c>
    </row>
    <row r="927" spans="1:17" x14ac:dyDescent="0.25">
      <c r="A927" s="1" t="s">
        <v>1050</v>
      </c>
      <c r="B927" s="1" t="s">
        <v>51</v>
      </c>
      <c r="C927" s="1" t="s">
        <v>52</v>
      </c>
      <c r="D927" s="1" t="s">
        <v>28</v>
      </c>
      <c r="E927" s="1" t="s">
        <v>21</v>
      </c>
      <c r="F927" s="1" t="s">
        <v>29</v>
      </c>
      <c r="G927">
        <v>1378</v>
      </c>
      <c r="H927">
        <v>4</v>
      </c>
      <c r="I927">
        <v>2756</v>
      </c>
      <c r="J927">
        <v>57876</v>
      </c>
      <c r="K927" s="1" t="s">
        <v>49</v>
      </c>
      <c r="L927" s="2">
        <v>0.46527777777777779</v>
      </c>
      <c r="M927" s="1" t="s">
        <v>24</v>
      </c>
      <c r="N927">
        <v>5512</v>
      </c>
      <c r="O927">
        <v>4761904762</v>
      </c>
      <c r="P927">
        <v>2756</v>
      </c>
      <c r="Q927">
        <v>9</v>
      </c>
    </row>
    <row r="928" spans="1:17" x14ac:dyDescent="0.25">
      <c r="A928" s="1" t="s">
        <v>1051</v>
      </c>
      <c r="B928" s="1" t="s">
        <v>51</v>
      </c>
      <c r="C928" s="1" t="s">
        <v>52</v>
      </c>
      <c r="D928" s="1" t="s">
        <v>20</v>
      </c>
      <c r="E928" s="1" t="s">
        <v>33</v>
      </c>
      <c r="F928" s="1" t="s">
        <v>40</v>
      </c>
      <c r="G928">
        <v>8831</v>
      </c>
      <c r="H928">
        <v>1</v>
      </c>
      <c r="I928">
        <v>44155</v>
      </c>
      <c r="J928">
        <v>927255</v>
      </c>
      <c r="K928" s="1" t="s">
        <v>139</v>
      </c>
      <c r="L928" s="2">
        <v>0.73472222222222228</v>
      </c>
      <c r="M928" s="1" t="s">
        <v>36</v>
      </c>
      <c r="N928">
        <v>8831</v>
      </c>
      <c r="O928">
        <v>4761904762</v>
      </c>
      <c r="P928">
        <v>44155</v>
      </c>
      <c r="Q928">
        <v>52</v>
      </c>
    </row>
    <row r="929" spans="1:17" x14ac:dyDescent="0.25">
      <c r="A929" s="1" t="s">
        <v>1052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>
        <v>3962</v>
      </c>
      <c r="H929">
        <v>9</v>
      </c>
      <c r="I929">
        <v>17829</v>
      </c>
      <c r="J929">
        <v>374409</v>
      </c>
      <c r="K929" s="1" t="s">
        <v>162</v>
      </c>
      <c r="L929" s="2">
        <v>0.74583333333333335</v>
      </c>
      <c r="M929" s="1" t="s">
        <v>36</v>
      </c>
      <c r="N929">
        <v>35658</v>
      </c>
      <c r="O929">
        <v>4761904762</v>
      </c>
      <c r="P929">
        <v>17829</v>
      </c>
      <c r="Q929">
        <v>68</v>
      </c>
    </row>
    <row r="930" spans="1:17" x14ac:dyDescent="0.25">
      <c r="A930" s="1" t="s">
        <v>1053</v>
      </c>
      <c r="B930" s="1" t="s">
        <v>51</v>
      </c>
      <c r="C930" s="1" t="s">
        <v>52</v>
      </c>
      <c r="D930" s="1" t="s">
        <v>28</v>
      </c>
      <c r="E930" s="1" t="s">
        <v>21</v>
      </c>
      <c r="F930" s="1" t="s">
        <v>29</v>
      </c>
      <c r="G930">
        <v>8825</v>
      </c>
      <c r="H930">
        <v>9</v>
      </c>
      <c r="I930">
        <v>397125</v>
      </c>
      <c r="J930">
        <v>8339625</v>
      </c>
      <c r="K930" s="1" t="s">
        <v>139</v>
      </c>
      <c r="L930" s="2">
        <v>0.86875000000000002</v>
      </c>
      <c r="M930" s="1" t="s">
        <v>36</v>
      </c>
      <c r="N930">
        <v>79425</v>
      </c>
      <c r="O930">
        <v>4761904762</v>
      </c>
      <c r="P930">
        <v>397125</v>
      </c>
      <c r="Q930">
        <v>76</v>
      </c>
    </row>
    <row r="931" spans="1:17" x14ac:dyDescent="0.25">
      <c r="A931" s="1" t="s">
        <v>1054</v>
      </c>
      <c r="B931" s="1" t="s">
        <v>51</v>
      </c>
      <c r="C931" s="1" t="s">
        <v>52</v>
      </c>
      <c r="D931" s="1" t="s">
        <v>28</v>
      </c>
      <c r="E931" s="1" t="s">
        <v>33</v>
      </c>
      <c r="F931" s="1" t="s">
        <v>40</v>
      </c>
      <c r="G931">
        <v>2531</v>
      </c>
      <c r="H931">
        <v>2</v>
      </c>
      <c r="I931">
        <v>2531</v>
      </c>
      <c r="J931">
        <v>53151</v>
      </c>
      <c r="K931" s="1" t="s">
        <v>83</v>
      </c>
      <c r="L931" s="2">
        <v>0.80972222222222223</v>
      </c>
      <c r="M931" s="1" t="s">
        <v>24</v>
      </c>
      <c r="N931">
        <v>5062</v>
      </c>
      <c r="O931">
        <v>4761904762</v>
      </c>
      <c r="P931">
        <v>2531</v>
      </c>
      <c r="Q931">
        <v>72</v>
      </c>
    </row>
    <row r="932" spans="1:17" x14ac:dyDescent="0.25">
      <c r="A932" s="1" t="s">
        <v>1055</v>
      </c>
      <c r="B932" s="1" t="s">
        <v>51</v>
      </c>
      <c r="C932" s="1" t="s">
        <v>52</v>
      </c>
      <c r="D932" s="1" t="s">
        <v>28</v>
      </c>
      <c r="E932" s="1" t="s">
        <v>33</v>
      </c>
      <c r="F932" s="1" t="s">
        <v>34</v>
      </c>
      <c r="G932">
        <v>9992</v>
      </c>
      <c r="H932">
        <v>6</v>
      </c>
      <c r="I932">
        <v>29976</v>
      </c>
      <c r="J932">
        <v>629496</v>
      </c>
      <c r="K932" s="1" t="s">
        <v>207</v>
      </c>
      <c r="L932" s="2">
        <v>0.56458333333333333</v>
      </c>
      <c r="M932" s="1" t="s">
        <v>24</v>
      </c>
      <c r="N932">
        <v>59952</v>
      </c>
      <c r="O932">
        <v>4761904762</v>
      </c>
      <c r="P932">
        <v>29976</v>
      </c>
      <c r="Q932">
        <v>71</v>
      </c>
    </row>
    <row r="933" spans="1:17" x14ac:dyDescent="0.25">
      <c r="A933" s="1" t="s">
        <v>1056</v>
      </c>
      <c r="B933" s="1" t="s">
        <v>26</v>
      </c>
      <c r="C933" s="1" t="s">
        <v>27</v>
      </c>
      <c r="D933" s="1" t="s">
        <v>20</v>
      </c>
      <c r="E933" s="1" t="s">
        <v>21</v>
      </c>
      <c r="F933" s="1" t="s">
        <v>56</v>
      </c>
      <c r="G933">
        <v>8335</v>
      </c>
      <c r="H933">
        <v>2</v>
      </c>
      <c r="I933">
        <v>8335</v>
      </c>
      <c r="J933">
        <v>175035</v>
      </c>
      <c r="K933" s="1" t="s">
        <v>108</v>
      </c>
      <c r="L933" s="2">
        <v>0.58680555555555558</v>
      </c>
      <c r="M933" s="1" t="s">
        <v>36</v>
      </c>
      <c r="N933">
        <v>1667</v>
      </c>
      <c r="O933">
        <v>4761904762</v>
      </c>
      <c r="P933">
        <v>8335</v>
      </c>
      <c r="Q933">
        <v>95</v>
      </c>
    </row>
    <row r="934" spans="1:17" x14ac:dyDescent="0.25">
      <c r="A934" s="1" t="s">
        <v>1057</v>
      </c>
      <c r="B934" s="1" t="s">
        <v>18</v>
      </c>
      <c r="C934" s="1" t="s">
        <v>19</v>
      </c>
      <c r="D934" s="1" t="s">
        <v>28</v>
      </c>
      <c r="E934" s="1" t="s">
        <v>21</v>
      </c>
      <c r="F934" s="1" t="s">
        <v>53</v>
      </c>
      <c r="G934">
        <v>7444</v>
      </c>
      <c r="H934">
        <v>10</v>
      </c>
      <c r="I934">
        <v>3722</v>
      </c>
      <c r="J934">
        <v>78162</v>
      </c>
      <c r="K934" s="1" t="s">
        <v>116</v>
      </c>
      <c r="L934" s="2">
        <v>0.4861111111111111</v>
      </c>
      <c r="M934" s="1" t="s">
        <v>24</v>
      </c>
      <c r="N934">
        <v>7444</v>
      </c>
      <c r="O934">
        <v>4761904762</v>
      </c>
      <c r="P934">
        <v>3722</v>
      </c>
      <c r="Q934">
        <v>51</v>
      </c>
    </row>
    <row r="935" spans="1:17" x14ac:dyDescent="0.25">
      <c r="A935" s="1" t="s">
        <v>1058</v>
      </c>
      <c r="B935" s="1" t="s">
        <v>26</v>
      </c>
      <c r="C935" s="1" t="s">
        <v>27</v>
      </c>
      <c r="D935" s="1" t="s">
        <v>28</v>
      </c>
      <c r="E935" s="1" t="s">
        <v>33</v>
      </c>
      <c r="F935" s="1" t="s">
        <v>22</v>
      </c>
      <c r="G935">
        <v>6408</v>
      </c>
      <c r="H935">
        <v>7</v>
      </c>
      <c r="I935">
        <v>22428</v>
      </c>
      <c r="J935">
        <v>470988</v>
      </c>
      <c r="K935" s="1" t="s">
        <v>135</v>
      </c>
      <c r="L935" s="2">
        <v>0.51875000000000004</v>
      </c>
      <c r="M935" s="1" t="s">
        <v>24</v>
      </c>
      <c r="N935">
        <v>44856</v>
      </c>
      <c r="O935">
        <v>4761904762</v>
      </c>
      <c r="P935">
        <v>22428</v>
      </c>
      <c r="Q935">
        <v>76</v>
      </c>
    </row>
    <row r="936" spans="1:17" x14ac:dyDescent="0.25">
      <c r="A936" s="1" t="s">
        <v>1059</v>
      </c>
      <c r="B936" s="1" t="s">
        <v>51</v>
      </c>
      <c r="C936" s="1" t="s">
        <v>52</v>
      </c>
      <c r="D936" s="1" t="s">
        <v>28</v>
      </c>
      <c r="E936" s="1" t="s">
        <v>21</v>
      </c>
      <c r="F936" s="1" t="s">
        <v>34</v>
      </c>
      <c r="G936">
        <v>6315</v>
      </c>
      <c r="H936">
        <v>6</v>
      </c>
      <c r="I936">
        <v>18945</v>
      </c>
      <c r="J936">
        <v>397845</v>
      </c>
      <c r="K936" s="1" t="s">
        <v>282</v>
      </c>
      <c r="L936" s="2">
        <v>0.85</v>
      </c>
      <c r="M936" s="1" t="s">
        <v>24</v>
      </c>
      <c r="N936">
        <v>3789</v>
      </c>
      <c r="O936">
        <v>4761904762</v>
      </c>
      <c r="P936">
        <v>18945</v>
      </c>
      <c r="Q936">
        <v>98</v>
      </c>
    </row>
    <row r="937" spans="1:17" x14ac:dyDescent="0.25">
      <c r="A937" s="1" t="s">
        <v>1060</v>
      </c>
      <c r="B937" s="1" t="s">
        <v>26</v>
      </c>
      <c r="C937" s="1" t="s">
        <v>27</v>
      </c>
      <c r="D937" s="1" t="s">
        <v>20</v>
      </c>
      <c r="E937" s="1" t="s">
        <v>33</v>
      </c>
      <c r="F937" s="1" t="s">
        <v>34</v>
      </c>
      <c r="G937">
        <v>8572</v>
      </c>
      <c r="H937">
        <v>3</v>
      </c>
      <c r="I937">
        <v>12858</v>
      </c>
      <c r="J937">
        <v>270018</v>
      </c>
      <c r="K937" s="1" t="s">
        <v>151</v>
      </c>
      <c r="L937" s="2">
        <v>0.87430555555555556</v>
      </c>
      <c r="M937" s="1" t="s">
        <v>24</v>
      </c>
      <c r="N937">
        <v>25716</v>
      </c>
      <c r="O937">
        <v>4761904762</v>
      </c>
      <c r="P937">
        <v>12858</v>
      </c>
      <c r="Q937">
        <v>51</v>
      </c>
    </row>
    <row r="938" spans="1:17" x14ac:dyDescent="0.25">
      <c r="A938" s="1" t="s">
        <v>1061</v>
      </c>
      <c r="B938" s="1" t="s">
        <v>26</v>
      </c>
      <c r="C938" s="1" t="s">
        <v>27</v>
      </c>
      <c r="D938" s="1" t="s">
        <v>28</v>
      </c>
      <c r="E938" s="1" t="s">
        <v>21</v>
      </c>
      <c r="F938" s="1" t="s">
        <v>22</v>
      </c>
      <c r="G938">
        <v>7889</v>
      </c>
      <c r="H938">
        <v>7</v>
      </c>
      <c r="I938">
        <v>276115</v>
      </c>
      <c r="J938">
        <v>5798415</v>
      </c>
      <c r="K938" s="1" t="s">
        <v>23</v>
      </c>
      <c r="L938" s="2">
        <v>0.82499999999999996</v>
      </c>
      <c r="M938" s="1" t="s">
        <v>24</v>
      </c>
      <c r="N938">
        <v>55223</v>
      </c>
      <c r="O938">
        <v>4761904762</v>
      </c>
      <c r="P938">
        <v>276115</v>
      </c>
      <c r="Q938">
        <v>75</v>
      </c>
    </row>
    <row r="939" spans="1:17" x14ac:dyDescent="0.25">
      <c r="A939" s="1" t="s">
        <v>1062</v>
      </c>
      <c r="B939" s="1" t="s">
        <v>18</v>
      </c>
      <c r="C939" s="1" t="s">
        <v>19</v>
      </c>
      <c r="D939" s="1" t="s">
        <v>28</v>
      </c>
      <c r="E939" s="1" t="s">
        <v>21</v>
      </c>
      <c r="F939" s="1" t="s">
        <v>40</v>
      </c>
      <c r="G939">
        <v>8948</v>
      </c>
      <c r="H939">
        <v>5</v>
      </c>
      <c r="I939">
        <v>2237</v>
      </c>
      <c r="J939">
        <v>46977</v>
      </c>
      <c r="K939" s="1" t="s">
        <v>268</v>
      </c>
      <c r="L939" s="2">
        <v>0.42916666666666664</v>
      </c>
      <c r="M939" s="1" t="s">
        <v>31</v>
      </c>
      <c r="N939">
        <v>4474</v>
      </c>
      <c r="O939">
        <v>4761904762</v>
      </c>
      <c r="P939">
        <v>2237</v>
      </c>
      <c r="Q939">
        <v>74</v>
      </c>
    </row>
    <row r="940" spans="1:17" x14ac:dyDescent="0.25">
      <c r="A940" s="1" t="s">
        <v>1063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>
        <v>9209</v>
      </c>
      <c r="H940">
        <v>3</v>
      </c>
      <c r="I940">
        <v>138135</v>
      </c>
      <c r="J940">
        <v>2900835</v>
      </c>
      <c r="K940" s="1" t="s">
        <v>81</v>
      </c>
      <c r="L940" s="2">
        <v>0.68541666666666667</v>
      </c>
      <c r="M940" s="1" t="s">
        <v>31</v>
      </c>
      <c r="N940">
        <v>27627</v>
      </c>
      <c r="O940">
        <v>4761904762</v>
      </c>
      <c r="P940">
        <v>138135</v>
      </c>
      <c r="Q940">
        <v>42</v>
      </c>
    </row>
    <row r="941" spans="1:17" x14ac:dyDescent="0.25">
      <c r="A941" s="1" t="s">
        <v>1064</v>
      </c>
      <c r="B941" s="1" t="s">
        <v>26</v>
      </c>
      <c r="C941" s="1" t="s">
        <v>27</v>
      </c>
      <c r="D941" s="1" t="s">
        <v>28</v>
      </c>
      <c r="E941" s="1" t="s">
        <v>21</v>
      </c>
      <c r="F941" s="1" t="s">
        <v>53</v>
      </c>
      <c r="G941">
        <v>5729</v>
      </c>
      <c r="H941">
        <v>6</v>
      </c>
      <c r="I941">
        <v>17187</v>
      </c>
      <c r="J941">
        <v>360927</v>
      </c>
      <c r="K941" s="1" t="s">
        <v>288</v>
      </c>
      <c r="L941" s="2">
        <v>0.71111111111111114</v>
      </c>
      <c r="M941" s="1" t="s">
        <v>24</v>
      </c>
      <c r="N941">
        <v>34374</v>
      </c>
      <c r="O941">
        <v>4761904762</v>
      </c>
      <c r="P941">
        <v>17187</v>
      </c>
      <c r="Q941">
        <v>59</v>
      </c>
    </row>
    <row r="942" spans="1:17" x14ac:dyDescent="0.25">
      <c r="A942" s="1" t="s">
        <v>1065</v>
      </c>
      <c r="B942" s="1" t="s">
        <v>18</v>
      </c>
      <c r="C942" s="1" t="s">
        <v>19</v>
      </c>
      <c r="D942" s="1" t="s">
        <v>28</v>
      </c>
      <c r="E942" s="1" t="s">
        <v>33</v>
      </c>
      <c r="F942" s="1" t="s">
        <v>53</v>
      </c>
      <c r="G942">
        <v>6652</v>
      </c>
      <c r="H942">
        <v>4</v>
      </c>
      <c r="I942">
        <v>13304</v>
      </c>
      <c r="J942">
        <v>279384</v>
      </c>
      <c r="K942" s="1" t="s">
        <v>83</v>
      </c>
      <c r="L942" s="2">
        <v>0.75972222222222219</v>
      </c>
      <c r="M942" s="1" t="s">
        <v>24</v>
      </c>
      <c r="N942">
        <v>26608</v>
      </c>
      <c r="O942">
        <v>4761904762</v>
      </c>
      <c r="P942">
        <v>13304</v>
      </c>
      <c r="Q942">
        <v>69</v>
      </c>
    </row>
    <row r="943" spans="1:17" x14ac:dyDescent="0.25">
      <c r="A943" s="1" t="s">
        <v>1066</v>
      </c>
      <c r="B943" s="1" t="s">
        <v>26</v>
      </c>
      <c r="C943" s="1" t="s">
        <v>27</v>
      </c>
      <c r="D943" s="1" t="s">
        <v>20</v>
      </c>
      <c r="E943" s="1" t="s">
        <v>33</v>
      </c>
      <c r="F943" s="1" t="s">
        <v>56</v>
      </c>
      <c r="G943">
        <v>9982</v>
      </c>
      <c r="H943">
        <v>9</v>
      </c>
      <c r="I943">
        <v>44919</v>
      </c>
      <c r="J943">
        <v>943299</v>
      </c>
      <c r="K943" s="1" t="s">
        <v>132</v>
      </c>
      <c r="L943" s="2">
        <v>0.4465277777777778</v>
      </c>
      <c r="M943" s="1" t="s">
        <v>31</v>
      </c>
      <c r="N943">
        <v>89838</v>
      </c>
      <c r="O943">
        <v>4761904762</v>
      </c>
      <c r="P943">
        <v>44919</v>
      </c>
      <c r="Q943">
        <v>66</v>
      </c>
    </row>
    <row r="944" spans="1:17" x14ac:dyDescent="0.25">
      <c r="A944" s="1" t="s">
        <v>1067</v>
      </c>
      <c r="B944" s="1" t="s">
        <v>18</v>
      </c>
      <c r="C944" s="1" t="s">
        <v>19</v>
      </c>
      <c r="D944" s="1" t="s">
        <v>28</v>
      </c>
      <c r="E944" s="1" t="s">
        <v>21</v>
      </c>
      <c r="F944" s="1" t="s">
        <v>34</v>
      </c>
      <c r="G944">
        <v>4568</v>
      </c>
      <c r="H944">
        <v>10</v>
      </c>
      <c r="I944">
        <v>2284</v>
      </c>
      <c r="J944">
        <v>47964</v>
      </c>
      <c r="K944" s="1" t="s">
        <v>214</v>
      </c>
      <c r="L944" s="2">
        <v>0.8125</v>
      </c>
      <c r="M944" s="1" t="s">
        <v>24</v>
      </c>
      <c r="N944">
        <v>4568</v>
      </c>
      <c r="O944">
        <v>4761904762</v>
      </c>
      <c r="P944">
        <v>2284</v>
      </c>
      <c r="Q944">
        <v>57</v>
      </c>
    </row>
    <row r="945" spans="1:17" x14ac:dyDescent="0.25">
      <c r="A945" s="1" t="s">
        <v>1068</v>
      </c>
      <c r="B945" s="1" t="s">
        <v>18</v>
      </c>
      <c r="C945" s="1" t="s">
        <v>19</v>
      </c>
      <c r="D945" s="1" t="s">
        <v>28</v>
      </c>
      <c r="E945" s="1" t="s">
        <v>33</v>
      </c>
      <c r="F945" s="1" t="s">
        <v>22</v>
      </c>
      <c r="G945">
        <v>5079</v>
      </c>
      <c r="H945">
        <v>5</v>
      </c>
      <c r="I945">
        <v>126975</v>
      </c>
      <c r="J945">
        <v>2666475</v>
      </c>
      <c r="K945" s="1" t="s">
        <v>489</v>
      </c>
      <c r="L945" s="2">
        <v>0.62013888888888891</v>
      </c>
      <c r="M945" s="1" t="s">
        <v>36</v>
      </c>
      <c r="N945">
        <v>25395</v>
      </c>
      <c r="O945">
        <v>4761904762</v>
      </c>
      <c r="P945">
        <v>126975</v>
      </c>
      <c r="Q945">
        <v>53</v>
      </c>
    </row>
    <row r="946" spans="1:17" x14ac:dyDescent="0.25">
      <c r="A946" s="1" t="s">
        <v>1069</v>
      </c>
      <c r="B946" s="1" t="s">
        <v>18</v>
      </c>
      <c r="C946" s="1" t="s">
        <v>19</v>
      </c>
      <c r="D946" s="1" t="s">
        <v>20</v>
      </c>
      <c r="E946" s="1" t="s">
        <v>33</v>
      </c>
      <c r="F946" s="1" t="s">
        <v>22</v>
      </c>
      <c r="G946">
        <v>1008</v>
      </c>
      <c r="H946">
        <v>7</v>
      </c>
      <c r="I946">
        <v>3528</v>
      </c>
      <c r="J946">
        <v>74088</v>
      </c>
      <c r="K946" s="1" t="s">
        <v>201</v>
      </c>
      <c r="L946" s="2">
        <v>0.84305555555555556</v>
      </c>
      <c r="M946" s="1" t="s">
        <v>31</v>
      </c>
      <c r="N946">
        <v>7056</v>
      </c>
      <c r="O946">
        <v>4761904762</v>
      </c>
      <c r="P946">
        <v>3528</v>
      </c>
      <c r="Q946">
        <v>42</v>
      </c>
    </row>
    <row r="947" spans="1:17" x14ac:dyDescent="0.25">
      <c r="A947" s="1" t="s">
        <v>1070</v>
      </c>
      <c r="B947" s="1" t="s">
        <v>18</v>
      </c>
      <c r="C947" s="1" t="s">
        <v>19</v>
      </c>
      <c r="D947" s="1" t="s">
        <v>28</v>
      </c>
      <c r="E947" s="1" t="s">
        <v>21</v>
      </c>
      <c r="F947" s="1" t="s">
        <v>29</v>
      </c>
      <c r="G947">
        <v>9388</v>
      </c>
      <c r="H947">
        <v>7</v>
      </c>
      <c r="I947">
        <v>32858</v>
      </c>
      <c r="J947">
        <v>690018</v>
      </c>
      <c r="K947" s="1" t="s">
        <v>23</v>
      </c>
      <c r="L947" s="2">
        <v>0.49375000000000002</v>
      </c>
      <c r="M947" s="1" t="s">
        <v>36</v>
      </c>
      <c r="N947">
        <v>65716</v>
      </c>
      <c r="O947">
        <v>4761904762</v>
      </c>
      <c r="P947">
        <v>32858</v>
      </c>
      <c r="Q947">
        <v>73</v>
      </c>
    </row>
    <row r="948" spans="1:17" x14ac:dyDescent="0.25">
      <c r="A948" s="1" t="s">
        <v>1071</v>
      </c>
      <c r="B948" s="1" t="s">
        <v>26</v>
      </c>
      <c r="C948" s="1" t="s">
        <v>27</v>
      </c>
      <c r="D948" s="1" t="s">
        <v>20</v>
      </c>
      <c r="E948" s="1" t="s">
        <v>33</v>
      </c>
      <c r="F948" s="1" t="s">
        <v>29</v>
      </c>
      <c r="G948">
        <v>8425</v>
      </c>
      <c r="H948">
        <v>2</v>
      </c>
      <c r="I948">
        <v>8425</v>
      </c>
      <c r="J948">
        <v>176925</v>
      </c>
      <c r="K948" s="1" t="s">
        <v>195</v>
      </c>
      <c r="L948" s="2">
        <v>0.59236111111111112</v>
      </c>
      <c r="M948" s="1" t="s">
        <v>36</v>
      </c>
      <c r="N948">
        <v>1685</v>
      </c>
      <c r="O948">
        <v>4761904762</v>
      </c>
      <c r="P948">
        <v>8425</v>
      </c>
      <c r="Q948">
        <v>53</v>
      </c>
    </row>
    <row r="949" spans="1:17" x14ac:dyDescent="0.25">
      <c r="A949" s="1" t="s">
        <v>1072</v>
      </c>
      <c r="B949" s="1" t="s">
        <v>51</v>
      </c>
      <c r="C949" s="1" t="s">
        <v>52</v>
      </c>
      <c r="D949" s="1" t="s">
        <v>20</v>
      </c>
      <c r="E949" s="1" t="s">
        <v>33</v>
      </c>
      <c r="F949" s="1" t="s">
        <v>56</v>
      </c>
      <c r="G949">
        <v>5378</v>
      </c>
      <c r="H949">
        <v>1</v>
      </c>
      <c r="I949">
        <v>2689</v>
      </c>
      <c r="J949">
        <v>56469</v>
      </c>
      <c r="K949" s="1" t="s">
        <v>123</v>
      </c>
      <c r="L949" s="2">
        <v>0.84236111111111112</v>
      </c>
      <c r="M949" s="1" t="s">
        <v>24</v>
      </c>
      <c r="N949">
        <v>5378</v>
      </c>
      <c r="O949">
        <v>4761904762</v>
      </c>
      <c r="P949">
        <v>2689</v>
      </c>
      <c r="Q949">
        <v>47</v>
      </c>
    </row>
    <row r="950" spans="1:17" x14ac:dyDescent="0.25">
      <c r="A950" s="1" t="s">
        <v>1073</v>
      </c>
      <c r="B950" s="1" t="s">
        <v>26</v>
      </c>
      <c r="C950" s="1" t="s">
        <v>27</v>
      </c>
      <c r="D950" s="1" t="s">
        <v>20</v>
      </c>
      <c r="E950" s="1" t="s">
        <v>33</v>
      </c>
      <c r="F950" s="1" t="s">
        <v>34</v>
      </c>
      <c r="G950">
        <v>3581</v>
      </c>
      <c r="H950">
        <v>5</v>
      </c>
      <c r="I950">
        <v>89525</v>
      </c>
      <c r="J950">
        <v>1880025</v>
      </c>
      <c r="K950" s="1" t="s">
        <v>57</v>
      </c>
      <c r="L950" s="2">
        <v>0.78055555555555556</v>
      </c>
      <c r="M950" s="1" t="s">
        <v>24</v>
      </c>
      <c r="N950">
        <v>17905</v>
      </c>
      <c r="O950">
        <v>4761904762</v>
      </c>
      <c r="P950">
        <v>89525</v>
      </c>
      <c r="Q950">
        <v>79</v>
      </c>
    </row>
    <row r="951" spans="1:17" x14ac:dyDescent="0.25">
      <c r="A951" s="1" t="s">
        <v>1074</v>
      </c>
      <c r="B951" s="1" t="s">
        <v>51</v>
      </c>
      <c r="C951" s="1" t="s">
        <v>52</v>
      </c>
      <c r="D951" s="1" t="s">
        <v>28</v>
      </c>
      <c r="E951" s="1" t="s">
        <v>21</v>
      </c>
      <c r="F951" s="1" t="s">
        <v>53</v>
      </c>
      <c r="G951">
        <v>2643</v>
      </c>
      <c r="H951">
        <v>8</v>
      </c>
      <c r="I951">
        <v>10572</v>
      </c>
      <c r="J951">
        <v>222012</v>
      </c>
      <c r="K951" s="1" t="s">
        <v>47</v>
      </c>
      <c r="L951" s="2">
        <v>0.60138888888888886</v>
      </c>
      <c r="M951" s="1" t="s">
        <v>24</v>
      </c>
      <c r="N951">
        <v>21144</v>
      </c>
      <c r="O951">
        <v>4761904762</v>
      </c>
      <c r="P951">
        <v>10572</v>
      </c>
      <c r="Q951">
        <v>89</v>
      </c>
    </row>
    <row r="952" spans="1:17" x14ac:dyDescent="0.25">
      <c r="A952" s="1" t="s">
        <v>1075</v>
      </c>
      <c r="B952" s="1" t="s">
        <v>51</v>
      </c>
      <c r="C952" s="1" t="s">
        <v>52</v>
      </c>
      <c r="D952" s="1" t="s">
        <v>20</v>
      </c>
      <c r="E952" s="1" t="s">
        <v>33</v>
      </c>
      <c r="F952" s="1" t="s">
        <v>22</v>
      </c>
      <c r="G952">
        <v>3991</v>
      </c>
      <c r="H952">
        <v>3</v>
      </c>
      <c r="I952">
        <v>59865</v>
      </c>
      <c r="J952">
        <v>1257165</v>
      </c>
      <c r="K952" s="1" t="s">
        <v>335</v>
      </c>
      <c r="L952" s="2">
        <v>0.52777777777777779</v>
      </c>
      <c r="M952" s="1" t="s">
        <v>24</v>
      </c>
      <c r="N952">
        <v>11973</v>
      </c>
      <c r="O952">
        <v>4761904762</v>
      </c>
      <c r="P952">
        <v>59865</v>
      </c>
      <c r="Q952">
        <v>93</v>
      </c>
    </row>
    <row r="953" spans="1:17" x14ac:dyDescent="0.25">
      <c r="A953" s="1" t="s">
        <v>1076</v>
      </c>
      <c r="B953" s="1" t="s">
        <v>51</v>
      </c>
      <c r="C953" s="1" t="s">
        <v>52</v>
      </c>
      <c r="D953" s="1" t="s">
        <v>20</v>
      </c>
      <c r="E953" s="1" t="s">
        <v>21</v>
      </c>
      <c r="F953" s="1" t="s">
        <v>34</v>
      </c>
      <c r="G953">
        <v>219</v>
      </c>
      <c r="H953">
        <v>3</v>
      </c>
      <c r="I953">
        <v>3285</v>
      </c>
      <c r="J953">
        <v>68985</v>
      </c>
      <c r="K953" s="1" t="s">
        <v>164</v>
      </c>
      <c r="L953" s="2">
        <v>0.77986111111111112</v>
      </c>
      <c r="M953" s="1" t="s">
        <v>24</v>
      </c>
      <c r="N953">
        <v>657</v>
      </c>
      <c r="O953">
        <v>4761904762</v>
      </c>
      <c r="P953">
        <v>3285</v>
      </c>
      <c r="Q953">
        <v>47</v>
      </c>
    </row>
    <row r="954" spans="1:17" x14ac:dyDescent="0.25">
      <c r="A954" s="1" t="s">
        <v>1077</v>
      </c>
      <c r="B954" s="1" t="s">
        <v>51</v>
      </c>
      <c r="C954" s="1" t="s">
        <v>52</v>
      </c>
      <c r="D954" s="1" t="s">
        <v>20</v>
      </c>
      <c r="E954" s="1" t="s">
        <v>21</v>
      </c>
      <c r="F954" s="1" t="s">
        <v>53</v>
      </c>
      <c r="G954">
        <v>6285</v>
      </c>
      <c r="H954">
        <v>4</v>
      </c>
      <c r="I954">
        <v>1257</v>
      </c>
      <c r="J954">
        <v>26397</v>
      </c>
      <c r="K954" s="1" t="s">
        <v>45</v>
      </c>
      <c r="L954" s="2">
        <v>0.55694444444444446</v>
      </c>
      <c r="M954" s="1" t="s">
        <v>24</v>
      </c>
      <c r="N954">
        <v>2514</v>
      </c>
      <c r="O954">
        <v>4761904762</v>
      </c>
      <c r="P954">
        <v>1257</v>
      </c>
      <c r="Q954">
        <v>87</v>
      </c>
    </row>
    <row r="955" spans="1:17" x14ac:dyDescent="0.25">
      <c r="A955" s="1" t="s">
        <v>1078</v>
      </c>
      <c r="B955" s="1" t="s">
        <v>26</v>
      </c>
      <c r="C955" s="1" t="s">
        <v>27</v>
      </c>
      <c r="D955" s="1" t="s">
        <v>20</v>
      </c>
      <c r="E955" s="1" t="s">
        <v>21</v>
      </c>
      <c r="F955" s="1" t="s">
        <v>53</v>
      </c>
      <c r="G955">
        <v>2104</v>
      </c>
      <c r="H955">
        <v>4</v>
      </c>
      <c r="I955">
        <v>4208</v>
      </c>
      <c r="J955">
        <v>88368</v>
      </c>
      <c r="K955" s="1" t="s">
        <v>162</v>
      </c>
      <c r="L955" s="2">
        <v>0.58194444444444449</v>
      </c>
      <c r="M955" s="1" t="s">
        <v>31</v>
      </c>
      <c r="N955">
        <v>8416</v>
      </c>
      <c r="O955">
        <v>4761904762</v>
      </c>
      <c r="P955">
        <v>4208</v>
      </c>
      <c r="Q955">
        <v>76</v>
      </c>
    </row>
    <row r="956" spans="1:17" x14ac:dyDescent="0.25">
      <c r="A956" s="1" t="s">
        <v>1079</v>
      </c>
      <c r="B956" s="1" t="s">
        <v>51</v>
      </c>
      <c r="C956" s="1" t="s">
        <v>52</v>
      </c>
      <c r="D956" s="1" t="s">
        <v>20</v>
      </c>
      <c r="E956" s="1" t="s">
        <v>33</v>
      </c>
      <c r="F956" s="1" t="s">
        <v>34</v>
      </c>
      <c r="G956">
        <v>6591</v>
      </c>
      <c r="H956">
        <v>6</v>
      </c>
      <c r="I956">
        <v>19773</v>
      </c>
      <c r="J956">
        <v>415233</v>
      </c>
      <c r="K956" s="1" t="s">
        <v>191</v>
      </c>
      <c r="L956" s="2">
        <v>0.48958333333333331</v>
      </c>
      <c r="M956" s="1" t="s">
        <v>31</v>
      </c>
      <c r="N956">
        <v>39546</v>
      </c>
      <c r="O956">
        <v>4761904762</v>
      </c>
      <c r="P956">
        <v>19773</v>
      </c>
      <c r="Q956">
        <v>57</v>
      </c>
    </row>
    <row r="957" spans="1:17" x14ac:dyDescent="0.25">
      <c r="A957" s="1" t="s">
        <v>1080</v>
      </c>
      <c r="B957" s="1" t="s">
        <v>18</v>
      </c>
      <c r="C957" s="1" t="s">
        <v>19</v>
      </c>
      <c r="D957" s="1" t="s">
        <v>28</v>
      </c>
      <c r="E957" s="1" t="s">
        <v>21</v>
      </c>
      <c r="F957" s="1" t="s">
        <v>56</v>
      </c>
      <c r="G957">
        <v>4257</v>
      </c>
      <c r="H957">
        <v>7</v>
      </c>
      <c r="I957">
        <v>148995</v>
      </c>
      <c r="J957">
        <v>3128895</v>
      </c>
      <c r="K957" s="1" t="s">
        <v>154</v>
      </c>
      <c r="L957" s="2">
        <v>0.49375000000000002</v>
      </c>
      <c r="M957" s="1" t="s">
        <v>31</v>
      </c>
      <c r="N957">
        <v>29799</v>
      </c>
      <c r="O957">
        <v>4761904762</v>
      </c>
      <c r="P957">
        <v>148995</v>
      </c>
      <c r="Q957">
        <v>68</v>
      </c>
    </row>
    <row r="958" spans="1:17" x14ac:dyDescent="0.25">
      <c r="A958" s="1" t="s">
        <v>1081</v>
      </c>
      <c r="B958" s="1" t="s">
        <v>26</v>
      </c>
      <c r="C958" s="1" t="s">
        <v>27</v>
      </c>
      <c r="D958" s="1" t="s">
        <v>20</v>
      </c>
      <c r="E958" s="1" t="s">
        <v>33</v>
      </c>
      <c r="F958" s="1" t="s">
        <v>53</v>
      </c>
      <c r="G958">
        <v>5049</v>
      </c>
      <c r="H958">
        <v>9</v>
      </c>
      <c r="I958">
        <v>227205</v>
      </c>
      <c r="J958">
        <v>4771305</v>
      </c>
      <c r="K958" s="1" t="s">
        <v>49</v>
      </c>
      <c r="L958" s="2">
        <v>0.71944444444444444</v>
      </c>
      <c r="M958" s="1" t="s">
        <v>31</v>
      </c>
      <c r="N958">
        <v>45441</v>
      </c>
      <c r="O958">
        <v>4761904762</v>
      </c>
      <c r="P958">
        <v>227205</v>
      </c>
      <c r="Q958">
        <v>54</v>
      </c>
    </row>
    <row r="959" spans="1:17" x14ac:dyDescent="0.25">
      <c r="A959" s="1" t="s">
        <v>1082</v>
      </c>
      <c r="B959" s="1" t="s">
        <v>51</v>
      </c>
      <c r="C959" s="1" t="s">
        <v>52</v>
      </c>
      <c r="D959" s="1" t="s">
        <v>28</v>
      </c>
      <c r="E959" s="1" t="s">
        <v>33</v>
      </c>
      <c r="F959" s="1" t="s">
        <v>29</v>
      </c>
      <c r="G959">
        <v>4602</v>
      </c>
      <c r="H959">
        <v>6</v>
      </c>
      <c r="I959">
        <v>13806</v>
      </c>
      <c r="J959">
        <v>289926</v>
      </c>
      <c r="K959" s="1" t="s">
        <v>63</v>
      </c>
      <c r="L959" s="2">
        <v>0.66319444444444442</v>
      </c>
      <c r="M959" s="1" t="s">
        <v>31</v>
      </c>
      <c r="N959">
        <v>27612</v>
      </c>
      <c r="O959">
        <v>4761904762</v>
      </c>
      <c r="P959">
        <v>13806</v>
      </c>
      <c r="Q959">
        <v>71</v>
      </c>
    </row>
    <row r="960" spans="1:17" x14ac:dyDescent="0.25">
      <c r="A960" s="1" t="s">
        <v>1083</v>
      </c>
      <c r="B960" s="1" t="s">
        <v>26</v>
      </c>
      <c r="C960" s="1" t="s">
        <v>27</v>
      </c>
      <c r="D960" s="1" t="s">
        <v>28</v>
      </c>
      <c r="E960" s="1" t="s">
        <v>21</v>
      </c>
      <c r="F960" s="1" t="s">
        <v>34</v>
      </c>
      <c r="G960">
        <v>158</v>
      </c>
      <c r="H960">
        <v>10</v>
      </c>
      <c r="I960">
        <v>79</v>
      </c>
      <c r="J960">
        <v>1659</v>
      </c>
      <c r="K960" s="1" t="s">
        <v>164</v>
      </c>
      <c r="L960" s="2">
        <v>0.50486111111111109</v>
      </c>
      <c r="M960" s="1" t="s">
        <v>31</v>
      </c>
      <c r="N960">
        <v>158</v>
      </c>
      <c r="O960">
        <v>4761904762</v>
      </c>
      <c r="P960">
        <v>79</v>
      </c>
      <c r="Q960">
        <v>78</v>
      </c>
    </row>
    <row r="961" spans="1:17" x14ac:dyDescent="0.25">
      <c r="A961" s="1" t="s">
        <v>1084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53</v>
      </c>
      <c r="G961">
        <v>9866</v>
      </c>
      <c r="H961">
        <v>9</v>
      </c>
      <c r="I961">
        <v>44397</v>
      </c>
      <c r="J961">
        <v>932337</v>
      </c>
      <c r="K961" s="1" t="s">
        <v>489</v>
      </c>
      <c r="L961" s="2">
        <v>0.62986111111111109</v>
      </c>
      <c r="M961" s="1" t="s">
        <v>31</v>
      </c>
      <c r="N961">
        <v>88794</v>
      </c>
      <c r="O961">
        <v>4761904762</v>
      </c>
      <c r="P961">
        <v>44397</v>
      </c>
      <c r="Q961">
        <v>84</v>
      </c>
    </row>
    <row r="962" spans="1:17" x14ac:dyDescent="0.25">
      <c r="A962" s="1" t="s">
        <v>1085</v>
      </c>
      <c r="B962" s="1" t="s">
        <v>26</v>
      </c>
      <c r="C962" s="1" t="s">
        <v>27</v>
      </c>
      <c r="D962" s="1" t="s">
        <v>20</v>
      </c>
      <c r="E962" s="1" t="s">
        <v>33</v>
      </c>
      <c r="F962" s="1" t="s">
        <v>56</v>
      </c>
      <c r="G962">
        <v>9198</v>
      </c>
      <c r="H962">
        <v>1</v>
      </c>
      <c r="I962">
        <v>4599</v>
      </c>
      <c r="J962">
        <v>96579</v>
      </c>
      <c r="K962" s="1" t="s">
        <v>323</v>
      </c>
      <c r="L962" s="2">
        <v>0.64513888888888893</v>
      </c>
      <c r="M962" s="1" t="s">
        <v>31</v>
      </c>
      <c r="N962">
        <v>9198</v>
      </c>
      <c r="O962">
        <v>4761904762</v>
      </c>
      <c r="P962">
        <v>4599</v>
      </c>
      <c r="Q962">
        <v>98</v>
      </c>
    </row>
    <row r="963" spans="1:17" x14ac:dyDescent="0.25">
      <c r="A963" s="1" t="s">
        <v>1086</v>
      </c>
      <c r="B963" s="1" t="s">
        <v>18</v>
      </c>
      <c r="C963" s="1" t="s">
        <v>19</v>
      </c>
      <c r="D963" s="1" t="s">
        <v>20</v>
      </c>
      <c r="E963" s="1" t="s">
        <v>33</v>
      </c>
      <c r="F963" s="1" t="s">
        <v>29</v>
      </c>
      <c r="G963">
        <v>2089</v>
      </c>
      <c r="H963">
        <v>2</v>
      </c>
      <c r="I963">
        <v>2089</v>
      </c>
      <c r="J963">
        <v>43869</v>
      </c>
      <c r="K963" s="1" t="s">
        <v>210</v>
      </c>
      <c r="L963" s="2">
        <v>0.78125</v>
      </c>
      <c r="M963" s="1" t="s">
        <v>31</v>
      </c>
      <c r="N963">
        <v>4178</v>
      </c>
      <c r="O963">
        <v>4761904762</v>
      </c>
      <c r="P963">
        <v>2089</v>
      </c>
      <c r="Q963">
        <v>98</v>
      </c>
    </row>
    <row r="964" spans="1:17" x14ac:dyDescent="0.25">
      <c r="A964" s="1" t="s">
        <v>1087</v>
      </c>
      <c r="B964" s="1" t="s">
        <v>18</v>
      </c>
      <c r="C964" s="1" t="s">
        <v>19</v>
      </c>
      <c r="D964" s="1" t="s">
        <v>28</v>
      </c>
      <c r="E964" s="1" t="s">
        <v>21</v>
      </c>
      <c r="F964" s="1" t="s">
        <v>56</v>
      </c>
      <c r="G964">
        <v>155</v>
      </c>
      <c r="H964">
        <v>1</v>
      </c>
      <c r="I964">
        <v>775</v>
      </c>
      <c r="J964">
        <v>16275</v>
      </c>
      <c r="K964" s="1" t="s">
        <v>121</v>
      </c>
      <c r="L964" s="2">
        <v>0.64097222222222228</v>
      </c>
      <c r="M964" s="1" t="s">
        <v>36</v>
      </c>
      <c r="N964">
        <v>155</v>
      </c>
      <c r="O964">
        <v>4761904762</v>
      </c>
      <c r="P964">
        <v>775</v>
      </c>
      <c r="Q964">
        <v>74</v>
      </c>
    </row>
    <row r="965" spans="1:17" x14ac:dyDescent="0.25">
      <c r="A965" s="1" t="s">
        <v>1088</v>
      </c>
      <c r="B965" s="1" t="s">
        <v>26</v>
      </c>
      <c r="C965" s="1" t="s">
        <v>27</v>
      </c>
      <c r="D965" s="1" t="s">
        <v>20</v>
      </c>
      <c r="E965" s="1" t="s">
        <v>33</v>
      </c>
      <c r="F965" s="1" t="s">
        <v>29</v>
      </c>
      <c r="G965">
        <v>9682</v>
      </c>
      <c r="H965">
        <v>3</v>
      </c>
      <c r="I965">
        <v>14523</v>
      </c>
      <c r="J965">
        <v>304983</v>
      </c>
      <c r="K965" s="1" t="s">
        <v>268</v>
      </c>
      <c r="L965" s="2">
        <v>0.85902777777777772</v>
      </c>
      <c r="M965" s="1" t="s">
        <v>31</v>
      </c>
      <c r="N965">
        <v>29046</v>
      </c>
      <c r="O965">
        <v>4761904762</v>
      </c>
      <c r="P965">
        <v>14523</v>
      </c>
      <c r="Q965">
        <v>67</v>
      </c>
    </row>
    <row r="966" spans="1:17" x14ac:dyDescent="0.25">
      <c r="A966" s="1" t="s">
        <v>1089</v>
      </c>
      <c r="B966" s="1" t="s">
        <v>51</v>
      </c>
      <c r="C966" s="1" t="s">
        <v>52</v>
      </c>
      <c r="D966" s="1" t="s">
        <v>28</v>
      </c>
      <c r="E966" s="1" t="s">
        <v>33</v>
      </c>
      <c r="F966" s="1" t="s">
        <v>53</v>
      </c>
      <c r="G966">
        <v>3333</v>
      </c>
      <c r="H966">
        <v>2</v>
      </c>
      <c r="I966">
        <v>3333</v>
      </c>
      <c r="J966">
        <v>69993</v>
      </c>
      <c r="K966" s="1" t="s">
        <v>171</v>
      </c>
      <c r="L966" s="2">
        <v>0.6118055555555556</v>
      </c>
      <c r="M966" s="1" t="s">
        <v>36</v>
      </c>
      <c r="N966">
        <v>6666</v>
      </c>
      <c r="O966">
        <v>4761904762</v>
      </c>
      <c r="P966">
        <v>3333</v>
      </c>
      <c r="Q966">
        <v>64</v>
      </c>
    </row>
    <row r="967" spans="1:17" x14ac:dyDescent="0.25">
      <c r="A967" s="1" t="s">
        <v>1090</v>
      </c>
      <c r="B967" s="1" t="s">
        <v>51</v>
      </c>
      <c r="C967" s="1" t="s">
        <v>52</v>
      </c>
      <c r="D967" s="1" t="s">
        <v>28</v>
      </c>
      <c r="E967" s="1" t="s">
        <v>21</v>
      </c>
      <c r="F967" s="1" t="s">
        <v>29</v>
      </c>
      <c r="G967">
        <v>3827</v>
      </c>
      <c r="H967">
        <v>2</v>
      </c>
      <c r="I967">
        <v>3827</v>
      </c>
      <c r="J967">
        <v>80367</v>
      </c>
      <c r="K967" s="1" t="s">
        <v>83</v>
      </c>
      <c r="L967" s="2">
        <v>0.76249999999999996</v>
      </c>
      <c r="M967" s="1" t="s">
        <v>36</v>
      </c>
      <c r="N967">
        <v>7654</v>
      </c>
      <c r="O967">
        <v>4761904762</v>
      </c>
      <c r="P967">
        <v>3827</v>
      </c>
      <c r="Q967">
        <v>58</v>
      </c>
    </row>
    <row r="968" spans="1:17" x14ac:dyDescent="0.25">
      <c r="A968" s="1" t="s">
        <v>1091</v>
      </c>
      <c r="B968" s="1" t="s">
        <v>18</v>
      </c>
      <c r="C968" s="1" t="s">
        <v>19</v>
      </c>
      <c r="D968" s="1" t="s">
        <v>28</v>
      </c>
      <c r="E968" s="1" t="s">
        <v>21</v>
      </c>
      <c r="F968" s="1" t="s">
        <v>34</v>
      </c>
      <c r="G968">
        <v>333</v>
      </c>
      <c r="H968">
        <v>9</v>
      </c>
      <c r="I968">
        <v>14985</v>
      </c>
      <c r="J968">
        <v>314685</v>
      </c>
      <c r="K968" s="1" t="s">
        <v>111</v>
      </c>
      <c r="L968" s="2">
        <v>0.64375000000000004</v>
      </c>
      <c r="M968" s="1" t="s">
        <v>24</v>
      </c>
      <c r="N968">
        <v>2997</v>
      </c>
      <c r="O968">
        <v>4761904762</v>
      </c>
      <c r="P968">
        <v>14985</v>
      </c>
      <c r="Q968">
        <v>72</v>
      </c>
    </row>
    <row r="969" spans="1:17" x14ac:dyDescent="0.25">
      <c r="A969" s="1" t="s">
        <v>1092</v>
      </c>
      <c r="B969" s="1" t="s">
        <v>18</v>
      </c>
      <c r="C969" s="1" t="s">
        <v>19</v>
      </c>
      <c r="D969" s="1" t="s">
        <v>20</v>
      </c>
      <c r="E969" s="1" t="s">
        <v>33</v>
      </c>
      <c r="F969" s="1" t="s">
        <v>34</v>
      </c>
      <c r="G969">
        <v>8101</v>
      </c>
      <c r="H969">
        <v>3</v>
      </c>
      <c r="I969">
        <v>121515</v>
      </c>
      <c r="J969">
        <v>2551815</v>
      </c>
      <c r="K969" s="1" t="s">
        <v>162</v>
      </c>
      <c r="L969" s="2">
        <v>0.53819444444444442</v>
      </c>
      <c r="M969" s="1" t="s">
        <v>36</v>
      </c>
      <c r="N969">
        <v>24303</v>
      </c>
      <c r="O969">
        <v>4761904762</v>
      </c>
      <c r="P969">
        <v>121515</v>
      </c>
      <c r="Q969">
        <v>93</v>
      </c>
    </row>
    <row r="970" spans="1:17" x14ac:dyDescent="0.25">
      <c r="A970" s="1" t="s">
        <v>1093</v>
      </c>
      <c r="B970" s="1" t="s">
        <v>18</v>
      </c>
      <c r="C970" s="1" t="s">
        <v>19</v>
      </c>
      <c r="D970" s="1" t="s">
        <v>28</v>
      </c>
      <c r="E970" s="1" t="s">
        <v>21</v>
      </c>
      <c r="F970" s="1" t="s">
        <v>22</v>
      </c>
      <c r="G970">
        <v>158</v>
      </c>
      <c r="H970">
        <v>3</v>
      </c>
      <c r="I970">
        <v>237</v>
      </c>
      <c r="J970">
        <v>4977</v>
      </c>
      <c r="K970" s="1" t="s">
        <v>43</v>
      </c>
      <c r="L970" s="2">
        <v>0.75138888888888888</v>
      </c>
      <c r="M970" s="1" t="s">
        <v>31</v>
      </c>
      <c r="N970">
        <v>474</v>
      </c>
      <c r="O970">
        <v>4761904762</v>
      </c>
      <c r="P970">
        <v>237</v>
      </c>
      <c r="Q970">
        <v>95</v>
      </c>
    </row>
    <row r="971" spans="1:17" x14ac:dyDescent="0.25">
      <c r="A971" s="1" t="s">
        <v>1094</v>
      </c>
      <c r="B971" s="1" t="s">
        <v>51</v>
      </c>
      <c r="C971" s="1" t="s">
        <v>52</v>
      </c>
      <c r="D971" s="1" t="s">
        <v>20</v>
      </c>
      <c r="E971" s="1" t="s">
        <v>21</v>
      </c>
      <c r="F971" s="1" t="s">
        <v>29</v>
      </c>
      <c r="G971">
        <v>3449</v>
      </c>
      <c r="H971">
        <v>5</v>
      </c>
      <c r="I971">
        <v>86225</v>
      </c>
      <c r="J971">
        <v>1810725</v>
      </c>
      <c r="K971" s="1" t="s">
        <v>69</v>
      </c>
      <c r="L971" s="2">
        <v>0.82222222222222219</v>
      </c>
      <c r="M971" s="1" t="s">
        <v>36</v>
      </c>
      <c r="N971">
        <v>17245</v>
      </c>
      <c r="O971">
        <v>4761904762</v>
      </c>
      <c r="P971">
        <v>86225</v>
      </c>
      <c r="Q971">
        <v>9</v>
      </c>
    </row>
    <row r="972" spans="1:17" x14ac:dyDescent="0.25">
      <c r="A972" s="1" t="s">
        <v>1095</v>
      </c>
      <c r="B972" s="1" t="s">
        <v>51</v>
      </c>
      <c r="C972" s="1" t="s">
        <v>52</v>
      </c>
      <c r="D972" s="1" t="s">
        <v>20</v>
      </c>
      <c r="E972" s="1" t="s">
        <v>21</v>
      </c>
      <c r="F972" s="1" t="s">
        <v>53</v>
      </c>
      <c r="G972">
        <v>8463</v>
      </c>
      <c r="H972">
        <v>10</v>
      </c>
      <c r="I972">
        <v>42315</v>
      </c>
      <c r="J972">
        <v>888615</v>
      </c>
      <c r="K972" s="1" t="s">
        <v>71</v>
      </c>
      <c r="L972" s="2">
        <v>0.48333333333333334</v>
      </c>
      <c r="M972" s="1" t="s">
        <v>36</v>
      </c>
      <c r="N972">
        <v>8463</v>
      </c>
      <c r="O972">
        <v>4761904762</v>
      </c>
      <c r="P972">
        <v>42315</v>
      </c>
      <c r="Q972">
        <v>9</v>
      </c>
    </row>
    <row r="973" spans="1:17" x14ac:dyDescent="0.25">
      <c r="A973" s="1" t="s">
        <v>1096</v>
      </c>
      <c r="B973" s="1" t="s">
        <v>51</v>
      </c>
      <c r="C973" s="1" t="s">
        <v>52</v>
      </c>
      <c r="D973" s="1" t="s">
        <v>20</v>
      </c>
      <c r="E973" s="1" t="s">
        <v>33</v>
      </c>
      <c r="F973" s="1" t="s">
        <v>34</v>
      </c>
      <c r="G973">
        <v>3691</v>
      </c>
      <c r="H973">
        <v>7</v>
      </c>
      <c r="I973">
        <v>129185</v>
      </c>
      <c r="J973">
        <v>2712885</v>
      </c>
      <c r="K973" s="1" t="s">
        <v>119</v>
      </c>
      <c r="L973" s="2">
        <v>0.57708333333333328</v>
      </c>
      <c r="M973" s="1" t="s">
        <v>24</v>
      </c>
      <c r="N973">
        <v>25837</v>
      </c>
      <c r="O973">
        <v>4761904762</v>
      </c>
      <c r="P973">
        <v>129185</v>
      </c>
      <c r="Q973">
        <v>67</v>
      </c>
    </row>
    <row r="974" spans="1:17" x14ac:dyDescent="0.25">
      <c r="A974" s="1" t="s">
        <v>1097</v>
      </c>
      <c r="B974" s="1" t="s">
        <v>51</v>
      </c>
      <c r="C974" s="1" t="s">
        <v>52</v>
      </c>
      <c r="D974" s="1" t="s">
        <v>28</v>
      </c>
      <c r="E974" s="1" t="s">
        <v>33</v>
      </c>
      <c r="F974" s="1" t="s">
        <v>29</v>
      </c>
      <c r="G974">
        <v>8708</v>
      </c>
      <c r="H974">
        <v>7</v>
      </c>
      <c r="I974">
        <v>30478</v>
      </c>
      <c r="J974">
        <v>640038</v>
      </c>
      <c r="K974" s="1" t="s">
        <v>171</v>
      </c>
      <c r="L974" s="2">
        <v>0.63680555555555551</v>
      </c>
      <c r="M974" s="1" t="s">
        <v>31</v>
      </c>
      <c r="N974">
        <v>60956</v>
      </c>
      <c r="O974">
        <v>4761904762</v>
      </c>
      <c r="P974">
        <v>30478</v>
      </c>
      <c r="Q974">
        <v>55</v>
      </c>
    </row>
    <row r="975" spans="1:17" x14ac:dyDescent="0.25">
      <c r="A975" s="1" t="s">
        <v>1098</v>
      </c>
      <c r="B975" s="1" t="s">
        <v>18</v>
      </c>
      <c r="C975" s="1" t="s">
        <v>19</v>
      </c>
      <c r="D975" s="1" t="s">
        <v>28</v>
      </c>
      <c r="E975" s="1" t="s">
        <v>33</v>
      </c>
      <c r="F975" s="1" t="s">
        <v>34</v>
      </c>
      <c r="G975">
        <v>8008</v>
      </c>
      <c r="H975">
        <v>3</v>
      </c>
      <c r="I975">
        <v>12012</v>
      </c>
      <c r="J975">
        <v>252252</v>
      </c>
      <c r="K975" s="1" t="s">
        <v>156</v>
      </c>
      <c r="L975" s="2">
        <v>0.64513888888888893</v>
      </c>
      <c r="M975" s="1" t="s">
        <v>31</v>
      </c>
      <c r="N975">
        <v>24024</v>
      </c>
      <c r="O975">
        <v>4761904762</v>
      </c>
      <c r="P975">
        <v>12012</v>
      </c>
      <c r="Q975">
        <v>54</v>
      </c>
    </row>
    <row r="976" spans="1:17" x14ac:dyDescent="0.25">
      <c r="A976" s="1" t="s">
        <v>1099</v>
      </c>
      <c r="B976" s="1" t="s">
        <v>26</v>
      </c>
      <c r="C976" s="1" t="s">
        <v>27</v>
      </c>
      <c r="D976" s="1" t="s">
        <v>28</v>
      </c>
      <c r="E976" s="1" t="s">
        <v>33</v>
      </c>
      <c r="F976" s="1" t="s">
        <v>56</v>
      </c>
      <c r="G976">
        <v>8613</v>
      </c>
      <c r="H976">
        <v>2</v>
      </c>
      <c r="I976">
        <v>8613</v>
      </c>
      <c r="J976">
        <v>180873</v>
      </c>
      <c r="K976" s="1" t="s">
        <v>63</v>
      </c>
      <c r="L976" s="2">
        <v>0.74930555555555556</v>
      </c>
      <c r="M976" s="1" t="s">
        <v>31</v>
      </c>
      <c r="N976">
        <v>17226</v>
      </c>
      <c r="O976">
        <v>4761904762</v>
      </c>
      <c r="P976">
        <v>8613</v>
      </c>
      <c r="Q976">
        <v>82</v>
      </c>
    </row>
    <row r="977" spans="1:17" x14ac:dyDescent="0.25">
      <c r="A977" s="1" t="s">
        <v>1100</v>
      </c>
      <c r="B977" s="1" t="s">
        <v>51</v>
      </c>
      <c r="C977" s="1" t="s">
        <v>52</v>
      </c>
      <c r="D977" s="1" t="s">
        <v>20</v>
      </c>
      <c r="E977" s="1" t="s">
        <v>33</v>
      </c>
      <c r="F977" s="1" t="s">
        <v>56</v>
      </c>
      <c r="G977">
        <v>4992</v>
      </c>
      <c r="H977">
        <v>2</v>
      </c>
      <c r="I977">
        <v>4992</v>
      </c>
      <c r="J977">
        <v>104832</v>
      </c>
      <c r="K977" s="1" t="s">
        <v>143</v>
      </c>
      <c r="L977" s="2">
        <v>0.49652777777777779</v>
      </c>
      <c r="M977" s="1" t="s">
        <v>36</v>
      </c>
      <c r="N977">
        <v>9984</v>
      </c>
      <c r="O977">
        <v>4761904762</v>
      </c>
      <c r="P977">
        <v>4992</v>
      </c>
      <c r="Q977">
        <v>7</v>
      </c>
    </row>
    <row r="978" spans="1:17" x14ac:dyDescent="0.25">
      <c r="A978" s="1" t="s">
        <v>1101</v>
      </c>
      <c r="B978" s="1" t="s">
        <v>18</v>
      </c>
      <c r="C978" s="1" t="s">
        <v>19</v>
      </c>
      <c r="D978" s="1" t="s">
        <v>28</v>
      </c>
      <c r="E978" s="1" t="s">
        <v>21</v>
      </c>
      <c r="F978" s="1" t="s">
        <v>53</v>
      </c>
      <c r="G978">
        <v>7466</v>
      </c>
      <c r="H978">
        <v>4</v>
      </c>
      <c r="I978">
        <v>14932</v>
      </c>
      <c r="J978">
        <v>313572</v>
      </c>
      <c r="K978" s="1" t="s">
        <v>111</v>
      </c>
      <c r="L978" s="2">
        <v>0.44374999999999998</v>
      </c>
      <c r="M978" s="1" t="s">
        <v>31</v>
      </c>
      <c r="N978">
        <v>29864</v>
      </c>
      <c r="O978">
        <v>4761904762</v>
      </c>
      <c r="P978">
        <v>14932</v>
      </c>
      <c r="Q978">
        <v>85</v>
      </c>
    </row>
    <row r="979" spans="1:17" x14ac:dyDescent="0.25">
      <c r="A979" s="1" t="s">
        <v>1102</v>
      </c>
      <c r="B979" s="1" t="s">
        <v>51</v>
      </c>
      <c r="C979" s="1" t="s">
        <v>52</v>
      </c>
      <c r="D979" s="1" t="s">
        <v>20</v>
      </c>
      <c r="E979" s="1" t="s">
        <v>33</v>
      </c>
      <c r="F979" s="1" t="s">
        <v>53</v>
      </c>
      <c r="G979">
        <v>266</v>
      </c>
      <c r="H979">
        <v>6</v>
      </c>
      <c r="I979">
        <v>798</v>
      </c>
      <c r="J979">
        <v>16758</v>
      </c>
      <c r="K979" s="1" t="s">
        <v>349</v>
      </c>
      <c r="L979" s="2">
        <v>0.63194444444444442</v>
      </c>
      <c r="M979" s="1" t="s">
        <v>24</v>
      </c>
      <c r="N979">
        <v>1596</v>
      </c>
      <c r="O979">
        <v>4761904762</v>
      </c>
      <c r="P979">
        <v>798</v>
      </c>
      <c r="Q979">
        <v>49</v>
      </c>
    </row>
    <row r="980" spans="1:17" x14ac:dyDescent="0.25">
      <c r="A980" s="1" t="s">
        <v>1103</v>
      </c>
      <c r="B980" s="1" t="s">
        <v>51</v>
      </c>
      <c r="C980" s="1" t="s">
        <v>52</v>
      </c>
      <c r="D980" s="1" t="s">
        <v>28</v>
      </c>
      <c r="E980" s="1" t="s">
        <v>21</v>
      </c>
      <c r="F980" s="1" t="s">
        <v>29</v>
      </c>
      <c r="G980">
        <v>2545</v>
      </c>
      <c r="H980">
        <v>1</v>
      </c>
      <c r="I980">
        <v>12725</v>
      </c>
      <c r="J980">
        <v>267225</v>
      </c>
      <c r="K980" s="1" t="s">
        <v>88</v>
      </c>
      <c r="L980" s="2">
        <v>0.75694444444444442</v>
      </c>
      <c r="M980" s="1" t="s">
        <v>36</v>
      </c>
      <c r="N980">
        <v>2545</v>
      </c>
      <c r="O980">
        <v>4761904762</v>
      </c>
      <c r="P980">
        <v>12725</v>
      </c>
      <c r="Q980">
        <v>51</v>
      </c>
    </row>
    <row r="981" spans="1:17" x14ac:dyDescent="0.25">
      <c r="A981" s="1" t="s">
        <v>1104</v>
      </c>
      <c r="B981" s="1" t="s">
        <v>51</v>
      </c>
      <c r="C981" s="1" t="s">
        <v>52</v>
      </c>
      <c r="D981" s="1" t="s">
        <v>28</v>
      </c>
      <c r="E981" s="1" t="s">
        <v>21</v>
      </c>
      <c r="F981" s="1" t="s">
        <v>53</v>
      </c>
      <c r="G981">
        <v>6777</v>
      </c>
      <c r="H981">
        <v>1</v>
      </c>
      <c r="I981">
        <v>33885</v>
      </c>
      <c r="J981">
        <v>711585</v>
      </c>
      <c r="K981" s="1" t="s">
        <v>470</v>
      </c>
      <c r="L981" s="2">
        <v>0.86319444444444449</v>
      </c>
      <c r="M981" s="1" t="s">
        <v>36</v>
      </c>
      <c r="N981">
        <v>6777</v>
      </c>
      <c r="O981">
        <v>4761904762</v>
      </c>
      <c r="P981">
        <v>33885</v>
      </c>
      <c r="Q981">
        <v>65</v>
      </c>
    </row>
    <row r="982" spans="1:17" x14ac:dyDescent="0.25">
      <c r="A982" s="1" t="s">
        <v>1105</v>
      </c>
      <c r="B982" s="1" t="s">
        <v>26</v>
      </c>
      <c r="C982" s="1" t="s">
        <v>27</v>
      </c>
      <c r="D982" s="1" t="s">
        <v>20</v>
      </c>
      <c r="E982" s="1" t="s">
        <v>33</v>
      </c>
      <c r="F982" s="1" t="s">
        <v>53</v>
      </c>
      <c r="G982">
        <v>5959</v>
      </c>
      <c r="H982">
        <v>4</v>
      </c>
      <c r="I982">
        <v>11918</v>
      </c>
      <c r="J982">
        <v>250278</v>
      </c>
      <c r="K982" s="1" t="s">
        <v>214</v>
      </c>
      <c r="L982" s="2">
        <v>0.53194444444444444</v>
      </c>
      <c r="M982" s="1" t="s">
        <v>31</v>
      </c>
      <c r="N982">
        <v>23836</v>
      </c>
      <c r="O982">
        <v>4761904762</v>
      </c>
      <c r="P982">
        <v>11918</v>
      </c>
      <c r="Q982">
        <v>98</v>
      </c>
    </row>
    <row r="983" spans="1:17" x14ac:dyDescent="0.25">
      <c r="A983" s="1" t="s">
        <v>1106</v>
      </c>
      <c r="B983" s="1" t="s">
        <v>18</v>
      </c>
      <c r="C983" s="1" t="s">
        <v>19</v>
      </c>
      <c r="D983" s="1" t="s">
        <v>28</v>
      </c>
      <c r="E983" s="1" t="s">
        <v>33</v>
      </c>
      <c r="F983" s="1" t="s">
        <v>22</v>
      </c>
      <c r="G983">
        <v>5815</v>
      </c>
      <c r="H983">
        <v>4</v>
      </c>
      <c r="I983">
        <v>1163</v>
      </c>
      <c r="J983">
        <v>24423</v>
      </c>
      <c r="K983" s="1" t="s">
        <v>173</v>
      </c>
      <c r="L983" s="2">
        <v>0.73888888888888893</v>
      </c>
      <c r="M983" s="1" t="s">
        <v>31</v>
      </c>
      <c r="N983">
        <v>2326</v>
      </c>
      <c r="O983">
        <v>4761904762</v>
      </c>
      <c r="P983">
        <v>1163</v>
      </c>
      <c r="Q983">
        <v>84</v>
      </c>
    </row>
    <row r="984" spans="1:17" x14ac:dyDescent="0.25">
      <c r="A984" s="1" t="s">
        <v>1107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40</v>
      </c>
      <c r="G984">
        <v>9748</v>
      </c>
      <c r="H984">
        <v>9</v>
      </c>
      <c r="I984">
        <v>43866</v>
      </c>
      <c r="J984">
        <v>921186</v>
      </c>
      <c r="K984" s="1" t="s">
        <v>389</v>
      </c>
      <c r="L984" s="2">
        <v>0.59652777777777777</v>
      </c>
      <c r="M984" s="1" t="s">
        <v>24</v>
      </c>
      <c r="N984">
        <v>87732</v>
      </c>
      <c r="O984">
        <v>4761904762</v>
      </c>
      <c r="P984">
        <v>43866</v>
      </c>
      <c r="Q984">
        <v>74</v>
      </c>
    </row>
    <row r="985" spans="1:17" x14ac:dyDescent="0.25">
      <c r="A985" s="1" t="s">
        <v>1108</v>
      </c>
      <c r="B985" s="1" t="s">
        <v>26</v>
      </c>
      <c r="C985" s="1" t="s">
        <v>27</v>
      </c>
      <c r="D985" s="1" t="s">
        <v>28</v>
      </c>
      <c r="E985" s="1" t="s">
        <v>33</v>
      </c>
      <c r="F985" s="1" t="s">
        <v>22</v>
      </c>
      <c r="G985">
        <v>9996</v>
      </c>
      <c r="H985">
        <v>7</v>
      </c>
      <c r="I985">
        <v>34986</v>
      </c>
      <c r="J985">
        <v>734706</v>
      </c>
      <c r="K985" s="1" t="s">
        <v>173</v>
      </c>
      <c r="L985" s="2">
        <v>0.43958333333333333</v>
      </c>
      <c r="M985" s="1" t="s">
        <v>31</v>
      </c>
      <c r="N985">
        <v>69972</v>
      </c>
      <c r="O985">
        <v>4761904762</v>
      </c>
      <c r="P985">
        <v>34986</v>
      </c>
      <c r="Q985">
        <v>61</v>
      </c>
    </row>
    <row r="986" spans="1:17" x14ac:dyDescent="0.25">
      <c r="A986" s="1" t="s">
        <v>1109</v>
      </c>
      <c r="B986" s="1" t="s">
        <v>26</v>
      </c>
      <c r="C986" s="1" t="s">
        <v>27</v>
      </c>
      <c r="D986" s="1" t="s">
        <v>28</v>
      </c>
      <c r="E986" s="1" t="s">
        <v>33</v>
      </c>
      <c r="F986" s="1" t="s">
        <v>29</v>
      </c>
      <c r="G986">
        <v>9637</v>
      </c>
      <c r="H986">
        <v>7</v>
      </c>
      <c r="I986">
        <v>337295</v>
      </c>
      <c r="J986">
        <v>7083195</v>
      </c>
      <c r="K986" s="1" t="s">
        <v>164</v>
      </c>
      <c r="L986" s="2">
        <v>0.4861111111111111</v>
      </c>
      <c r="M986" s="1" t="s">
        <v>31</v>
      </c>
      <c r="N986">
        <v>67459</v>
      </c>
      <c r="O986">
        <v>4761904762</v>
      </c>
      <c r="P986">
        <v>337295</v>
      </c>
      <c r="Q986">
        <v>6</v>
      </c>
    </row>
    <row r="987" spans="1:17" x14ac:dyDescent="0.25">
      <c r="A987" s="1" t="s">
        <v>1110</v>
      </c>
      <c r="B987" s="1" t="s">
        <v>51</v>
      </c>
      <c r="C987" s="1" t="s">
        <v>52</v>
      </c>
      <c r="D987" s="1" t="s">
        <v>28</v>
      </c>
      <c r="E987" s="1" t="s">
        <v>21</v>
      </c>
      <c r="F987" s="1" t="s">
        <v>56</v>
      </c>
      <c r="G987">
        <v>6371</v>
      </c>
      <c r="H987">
        <v>5</v>
      </c>
      <c r="I987">
        <v>159275</v>
      </c>
      <c r="J987">
        <v>3344775</v>
      </c>
      <c r="K987" s="1" t="s">
        <v>63</v>
      </c>
      <c r="L987" s="2">
        <v>0.8125</v>
      </c>
      <c r="M987" s="1" t="s">
        <v>24</v>
      </c>
      <c r="N987">
        <v>31855</v>
      </c>
      <c r="O987">
        <v>4761904762</v>
      </c>
      <c r="P987">
        <v>159275</v>
      </c>
      <c r="Q987">
        <v>85</v>
      </c>
    </row>
    <row r="988" spans="1:17" x14ac:dyDescent="0.25">
      <c r="A988" s="1" t="s">
        <v>1111</v>
      </c>
      <c r="B988" s="1" t="s">
        <v>51</v>
      </c>
      <c r="C988" s="1" t="s">
        <v>52</v>
      </c>
      <c r="D988" s="1" t="s">
        <v>28</v>
      </c>
      <c r="E988" s="1" t="s">
        <v>21</v>
      </c>
      <c r="F988" s="1" t="s">
        <v>22</v>
      </c>
      <c r="G988">
        <v>1476</v>
      </c>
      <c r="H988">
        <v>2</v>
      </c>
      <c r="I988">
        <v>1476</v>
      </c>
      <c r="J988">
        <v>30996</v>
      </c>
      <c r="K988" s="1" t="s">
        <v>239</v>
      </c>
      <c r="L988" s="2">
        <v>0.61250000000000004</v>
      </c>
      <c r="M988" s="1" t="s">
        <v>24</v>
      </c>
      <c r="N988">
        <v>2952</v>
      </c>
      <c r="O988">
        <v>4761904762</v>
      </c>
      <c r="P988">
        <v>1476</v>
      </c>
      <c r="Q988">
        <v>43</v>
      </c>
    </row>
    <row r="989" spans="1:17" x14ac:dyDescent="0.25">
      <c r="A989" s="1" t="s">
        <v>1112</v>
      </c>
      <c r="B989" s="1" t="s">
        <v>51</v>
      </c>
      <c r="C989" s="1" t="s">
        <v>52</v>
      </c>
      <c r="D989" s="1" t="s">
        <v>20</v>
      </c>
      <c r="E989" s="1" t="s">
        <v>33</v>
      </c>
      <c r="F989" s="1" t="s">
        <v>22</v>
      </c>
      <c r="G989">
        <v>62</v>
      </c>
      <c r="H989">
        <v>8</v>
      </c>
      <c r="I989">
        <v>248</v>
      </c>
      <c r="J989">
        <v>5208</v>
      </c>
      <c r="K989" s="1" t="s">
        <v>282</v>
      </c>
      <c r="L989" s="2">
        <v>0.79722222222222228</v>
      </c>
      <c r="M989" s="1" t="s">
        <v>36</v>
      </c>
      <c r="N989">
        <v>496</v>
      </c>
      <c r="O989">
        <v>4761904762</v>
      </c>
      <c r="P989">
        <v>248</v>
      </c>
      <c r="Q989">
        <v>62</v>
      </c>
    </row>
    <row r="990" spans="1:17" x14ac:dyDescent="0.25">
      <c r="A990" s="1" t="s">
        <v>1113</v>
      </c>
      <c r="B990" s="1" t="s">
        <v>26</v>
      </c>
      <c r="C990" s="1" t="s">
        <v>27</v>
      </c>
      <c r="D990" s="1" t="s">
        <v>20</v>
      </c>
      <c r="E990" s="1" t="s">
        <v>33</v>
      </c>
      <c r="F990" s="1" t="s">
        <v>29</v>
      </c>
      <c r="G990">
        <v>8234</v>
      </c>
      <c r="H990">
        <v>10</v>
      </c>
      <c r="I990">
        <v>4117</v>
      </c>
      <c r="J990">
        <v>86457</v>
      </c>
      <c r="K990" s="1" t="s">
        <v>65</v>
      </c>
      <c r="L990" s="2">
        <v>0.8</v>
      </c>
      <c r="M990" s="1" t="s">
        <v>24</v>
      </c>
      <c r="N990">
        <v>8234</v>
      </c>
      <c r="O990">
        <v>4761904762</v>
      </c>
      <c r="P990">
        <v>4117</v>
      </c>
      <c r="Q990">
        <v>43</v>
      </c>
    </row>
    <row r="991" spans="1:17" x14ac:dyDescent="0.25">
      <c r="A991" s="1" t="s">
        <v>1114</v>
      </c>
      <c r="B991" s="1" t="s">
        <v>51</v>
      </c>
      <c r="C991" s="1" t="s">
        <v>52</v>
      </c>
      <c r="D991" s="1" t="s">
        <v>20</v>
      </c>
      <c r="E991" s="1" t="s">
        <v>33</v>
      </c>
      <c r="F991" s="1" t="s">
        <v>22</v>
      </c>
      <c r="G991">
        <v>7537</v>
      </c>
      <c r="H991">
        <v>8</v>
      </c>
      <c r="I991">
        <v>30148</v>
      </c>
      <c r="J991">
        <v>633108</v>
      </c>
      <c r="K991" s="1" t="s">
        <v>94</v>
      </c>
      <c r="L991" s="2">
        <v>0.65694444444444444</v>
      </c>
      <c r="M991" s="1" t="s">
        <v>36</v>
      </c>
      <c r="N991">
        <v>60296</v>
      </c>
      <c r="O991">
        <v>4761904762</v>
      </c>
      <c r="P991">
        <v>30148</v>
      </c>
      <c r="Q991">
        <v>84</v>
      </c>
    </row>
    <row r="992" spans="1:17" x14ac:dyDescent="0.25">
      <c r="A992" s="1" t="s">
        <v>1115</v>
      </c>
      <c r="B992" s="1" t="s">
        <v>18</v>
      </c>
      <c r="C992" s="1" t="s">
        <v>19</v>
      </c>
      <c r="D992" s="1" t="s">
        <v>28</v>
      </c>
      <c r="E992" s="1" t="s">
        <v>21</v>
      </c>
      <c r="F992" s="1" t="s">
        <v>53</v>
      </c>
      <c r="G992">
        <v>5656</v>
      </c>
      <c r="H992">
        <v>5</v>
      </c>
      <c r="I992">
        <v>1414</v>
      </c>
      <c r="J992">
        <v>29694</v>
      </c>
      <c r="K992" s="1" t="s">
        <v>85</v>
      </c>
      <c r="L992" s="2">
        <v>0.79583333333333328</v>
      </c>
      <c r="M992" s="1" t="s">
        <v>36</v>
      </c>
      <c r="N992">
        <v>2828</v>
      </c>
      <c r="O992">
        <v>4761904762</v>
      </c>
      <c r="P992">
        <v>1414</v>
      </c>
      <c r="Q992">
        <v>45</v>
      </c>
    </row>
    <row r="993" spans="1:17" x14ac:dyDescent="0.25">
      <c r="A993" s="1" t="s">
        <v>1116</v>
      </c>
      <c r="B993" s="1" t="s">
        <v>51</v>
      </c>
      <c r="C993" s="1" t="s">
        <v>52</v>
      </c>
      <c r="D993" s="1" t="s">
        <v>28</v>
      </c>
      <c r="E993" s="1" t="s">
        <v>21</v>
      </c>
      <c r="F993" s="1" t="s">
        <v>40</v>
      </c>
      <c r="G993">
        <v>766</v>
      </c>
      <c r="H993">
        <v>10</v>
      </c>
      <c r="I993">
        <v>383</v>
      </c>
      <c r="J993">
        <v>8043</v>
      </c>
      <c r="K993" s="1" t="s">
        <v>151</v>
      </c>
      <c r="L993" s="2">
        <v>0.75694444444444442</v>
      </c>
      <c r="M993" s="1" t="s">
        <v>24</v>
      </c>
      <c r="N993">
        <v>766</v>
      </c>
      <c r="O993">
        <v>4761904762</v>
      </c>
      <c r="P993">
        <v>383</v>
      </c>
      <c r="Q993">
        <v>6</v>
      </c>
    </row>
    <row r="994" spans="1:17" x14ac:dyDescent="0.25">
      <c r="A994" s="1" t="s">
        <v>1117</v>
      </c>
      <c r="B994" s="1" t="s">
        <v>18</v>
      </c>
      <c r="C994" s="1" t="s">
        <v>19</v>
      </c>
      <c r="D994" s="1" t="s">
        <v>28</v>
      </c>
      <c r="E994" s="1" t="s">
        <v>33</v>
      </c>
      <c r="F994" s="1" t="s">
        <v>29</v>
      </c>
      <c r="G994">
        <v>5803</v>
      </c>
      <c r="H994">
        <v>2</v>
      </c>
      <c r="I994">
        <v>5803</v>
      </c>
      <c r="J994">
        <v>121863</v>
      </c>
      <c r="K994" s="1" t="s">
        <v>88</v>
      </c>
      <c r="L994" s="2">
        <v>0.86527777777777781</v>
      </c>
      <c r="M994" s="1" t="s">
        <v>24</v>
      </c>
      <c r="N994">
        <v>11606</v>
      </c>
      <c r="O994">
        <v>4761904762</v>
      </c>
      <c r="P994">
        <v>5803</v>
      </c>
      <c r="Q994">
        <v>88</v>
      </c>
    </row>
    <row r="995" spans="1:17" x14ac:dyDescent="0.25">
      <c r="A995" s="1" t="s">
        <v>1118</v>
      </c>
      <c r="B995" s="1" t="s">
        <v>51</v>
      </c>
      <c r="C995" s="1" t="s">
        <v>52</v>
      </c>
      <c r="D995" s="1" t="s">
        <v>28</v>
      </c>
      <c r="E995" s="1" t="s">
        <v>33</v>
      </c>
      <c r="F995" s="1" t="s">
        <v>56</v>
      </c>
      <c r="G995">
        <v>1749</v>
      </c>
      <c r="H995">
        <v>10</v>
      </c>
      <c r="I995">
        <v>8745</v>
      </c>
      <c r="J995">
        <v>183645</v>
      </c>
      <c r="K995" s="1" t="s">
        <v>250</v>
      </c>
      <c r="L995" s="2">
        <v>0.77430555555555558</v>
      </c>
      <c r="M995" s="1" t="s">
        <v>24</v>
      </c>
      <c r="N995">
        <v>1749</v>
      </c>
      <c r="O995">
        <v>4761904762</v>
      </c>
      <c r="P995">
        <v>8745</v>
      </c>
      <c r="Q995">
        <v>66</v>
      </c>
    </row>
    <row r="996" spans="1:17" x14ac:dyDescent="0.25">
      <c r="A996" s="1" t="s">
        <v>1119</v>
      </c>
      <c r="B996" s="1" t="s">
        <v>26</v>
      </c>
      <c r="C996" s="1" t="s">
        <v>27</v>
      </c>
      <c r="D996" s="1" t="s">
        <v>20</v>
      </c>
      <c r="E996" s="1" t="s">
        <v>21</v>
      </c>
      <c r="F996" s="1" t="s">
        <v>29</v>
      </c>
      <c r="G996">
        <v>6095</v>
      </c>
      <c r="H996">
        <v>1</v>
      </c>
      <c r="I996">
        <v>30475</v>
      </c>
      <c r="J996">
        <v>639975</v>
      </c>
      <c r="K996" s="1" t="s">
        <v>239</v>
      </c>
      <c r="L996" s="2">
        <v>0.4861111111111111</v>
      </c>
      <c r="M996" s="1" t="s">
        <v>24</v>
      </c>
      <c r="N996">
        <v>6095</v>
      </c>
      <c r="O996">
        <v>4761904762</v>
      </c>
      <c r="P996">
        <v>30475</v>
      </c>
      <c r="Q996">
        <v>59</v>
      </c>
    </row>
    <row r="997" spans="1:17" x14ac:dyDescent="0.25">
      <c r="A997" s="1" t="s">
        <v>1120</v>
      </c>
      <c r="B997" s="1" t="s">
        <v>26</v>
      </c>
      <c r="C997" s="1" t="s">
        <v>27</v>
      </c>
      <c r="D997" s="1" t="s">
        <v>28</v>
      </c>
      <c r="E997" s="1" t="s">
        <v>33</v>
      </c>
      <c r="F997" s="1" t="s">
        <v>22</v>
      </c>
      <c r="G997">
        <v>4035</v>
      </c>
      <c r="H997">
        <v>1</v>
      </c>
      <c r="I997">
        <v>20175</v>
      </c>
      <c r="J997">
        <v>423675</v>
      </c>
      <c r="K997" s="1" t="s">
        <v>260</v>
      </c>
      <c r="L997" s="2">
        <v>0.57361111111111107</v>
      </c>
      <c r="M997" s="1" t="s">
        <v>24</v>
      </c>
      <c r="N997">
        <v>4035</v>
      </c>
      <c r="O997">
        <v>4761904762</v>
      </c>
      <c r="P997">
        <v>20175</v>
      </c>
      <c r="Q997">
        <v>62</v>
      </c>
    </row>
    <row r="998" spans="1:17" x14ac:dyDescent="0.25">
      <c r="A998" s="1" t="s">
        <v>1121</v>
      </c>
      <c r="B998" s="1" t="s">
        <v>51</v>
      </c>
      <c r="C998" s="1" t="s">
        <v>52</v>
      </c>
      <c r="D998" s="1" t="s">
        <v>28</v>
      </c>
      <c r="E998" s="1" t="s">
        <v>21</v>
      </c>
      <c r="F998" s="1" t="s">
        <v>34</v>
      </c>
      <c r="G998">
        <v>9738</v>
      </c>
      <c r="H998">
        <v>10</v>
      </c>
      <c r="I998">
        <v>4869</v>
      </c>
      <c r="J998">
        <v>102249</v>
      </c>
      <c r="K998" s="1" t="s">
        <v>83</v>
      </c>
      <c r="L998" s="2">
        <v>0.71944444444444444</v>
      </c>
      <c r="M998" s="1" t="s">
        <v>24</v>
      </c>
      <c r="N998">
        <v>9738</v>
      </c>
      <c r="O998">
        <v>4761904762</v>
      </c>
      <c r="P998">
        <v>4869</v>
      </c>
      <c r="Q998">
        <v>44</v>
      </c>
    </row>
    <row r="999" spans="1:17" x14ac:dyDescent="0.25">
      <c r="A999" s="1" t="s">
        <v>1122</v>
      </c>
      <c r="B999" s="1" t="s">
        <v>18</v>
      </c>
      <c r="C999" s="1" t="s">
        <v>19</v>
      </c>
      <c r="D999" s="1" t="s">
        <v>20</v>
      </c>
      <c r="E999" s="1" t="s">
        <v>33</v>
      </c>
      <c r="F999" s="1" t="s">
        <v>53</v>
      </c>
      <c r="G999">
        <v>3184</v>
      </c>
      <c r="H999">
        <v>1</v>
      </c>
      <c r="I999">
        <v>1592</v>
      </c>
      <c r="J999">
        <v>33432</v>
      </c>
      <c r="K999" s="1" t="s">
        <v>191</v>
      </c>
      <c r="L999" s="2">
        <v>0.55694444444444446</v>
      </c>
      <c r="M999" s="1" t="s">
        <v>31</v>
      </c>
      <c r="N999">
        <v>3184</v>
      </c>
      <c r="O999">
        <v>4761904762</v>
      </c>
      <c r="P999">
        <v>1592</v>
      </c>
      <c r="Q999">
        <v>77</v>
      </c>
    </row>
    <row r="1000" spans="1:17" x14ac:dyDescent="0.25">
      <c r="A1000" s="1" t="s">
        <v>1123</v>
      </c>
      <c r="B1000" s="1" t="s">
        <v>18</v>
      </c>
      <c r="C1000" s="1" t="s">
        <v>19</v>
      </c>
      <c r="D1000" s="1" t="s">
        <v>28</v>
      </c>
      <c r="E1000" s="1" t="s">
        <v>33</v>
      </c>
      <c r="F1000" s="1" t="s">
        <v>34</v>
      </c>
      <c r="G1000">
        <v>6582</v>
      </c>
      <c r="H1000">
        <v>1</v>
      </c>
      <c r="I1000">
        <v>3291</v>
      </c>
      <c r="J1000">
        <v>69111</v>
      </c>
      <c r="K1000" s="1" t="s">
        <v>250</v>
      </c>
      <c r="L1000" s="2">
        <v>0.6479166666666667</v>
      </c>
      <c r="M1000" s="1" t="s">
        <v>31</v>
      </c>
      <c r="N1000">
        <v>6582</v>
      </c>
      <c r="O1000">
        <v>4761904762</v>
      </c>
      <c r="P1000">
        <v>3291</v>
      </c>
      <c r="Q1000">
        <v>41</v>
      </c>
    </row>
    <row r="1001" spans="1:17" x14ac:dyDescent="0.25">
      <c r="A1001" s="1" t="s">
        <v>1124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56</v>
      </c>
      <c r="G1001">
        <v>8834</v>
      </c>
      <c r="H1001">
        <v>7</v>
      </c>
      <c r="I1001">
        <v>30919</v>
      </c>
      <c r="J1001">
        <v>649299</v>
      </c>
      <c r="K1001" s="1" t="s">
        <v>239</v>
      </c>
      <c r="L1001" s="2">
        <v>0.56111111111111112</v>
      </c>
      <c r="M1001" s="1" t="s">
        <v>31</v>
      </c>
      <c r="N1001">
        <v>61838</v>
      </c>
      <c r="O1001">
        <v>4761904762</v>
      </c>
      <c r="P1001">
        <v>30919</v>
      </c>
      <c r="Q1001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4363-DCB4-43C0-9891-C18838C8D5AD}">
  <dimension ref="A2:I32"/>
  <sheetViews>
    <sheetView showGridLines="0" tabSelected="1" zoomScale="115" zoomScaleNormal="115" workbookViewId="0">
      <selection activeCell="B2" sqref="B2"/>
    </sheetView>
  </sheetViews>
  <sheetFormatPr baseColWidth="10" defaultRowHeight="15" x14ac:dyDescent="0.25"/>
  <cols>
    <col min="2" max="2" width="23" bestFit="1" customWidth="1"/>
    <col min="3" max="3" width="14.5703125" bestFit="1" customWidth="1"/>
    <col min="5" max="5" width="13.42578125" bestFit="1" customWidth="1"/>
    <col min="6" max="6" width="12.85546875" bestFit="1" customWidth="1"/>
    <col min="7" max="8" width="14.140625" bestFit="1" customWidth="1"/>
    <col min="9" max="9" width="10.7109375" bestFit="1" customWidth="1"/>
  </cols>
  <sheetData>
    <row r="2" spans="1:9" x14ac:dyDescent="0.25">
      <c r="B2" t="s">
        <v>1125</v>
      </c>
      <c r="C2" t="e" cm="1" vm="1">
        <f t="array" ref="C2">_xlfn._xlws.PY(0,1,df[#All])</f>
        <v>#VALUE!</v>
      </c>
    </row>
    <row r="4" spans="1:9" x14ac:dyDescent="0.25">
      <c r="A4" s="4">
        <v>1</v>
      </c>
      <c r="B4" s="4" t="s">
        <v>1127</v>
      </c>
      <c r="C4" t="e" cm="1" vm="2">
        <f t="array" ref="C4">_xlfn._xlws.PY(1,1)</f>
        <v>#VALUE!</v>
      </c>
    </row>
    <row r="6" spans="1:9" x14ac:dyDescent="0.25">
      <c r="A6" s="5">
        <v>2</v>
      </c>
      <c r="B6" s="5" t="s">
        <v>1126</v>
      </c>
      <c r="C6" t="e" cm="1" vm="3">
        <f t="array" ref="C6">_xlfn._xlws.PY(2,1)</f>
        <v>#VALUE!</v>
      </c>
    </row>
    <row r="8" spans="1:9" x14ac:dyDescent="0.25">
      <c r="A8" s="5">
        <v>3</v>
      </c>
      <c r="B8" s="5" t="s">
        <v>1128</v>
      </c>
      <c r="C8" t="e" cm="1" vm="4">
        <f t="array" ref="C8">_xlfn._xlws.PY(3,1)</f>
        <v>#VALUE!</v>
      </c>
    </row>
    <row r="10" spans="1:9" x14ac:dyDescent="0.25">
      <c r="A10" s="5">
        <v>4</v>
      </c>
      <c r="B10" s="5" t="s">
        <v>1129</v>
      </c>
      <c r="C10" t="e" cm="1" vm="5">
        <f t="array" ref="C10">_xlfn._xlws.PY(4,1)</f>
        <v>#VALUE!</v>
      </c>
      <c r="D10" t="str" cm="1">
        <f t="array" ref="D10:I14">_FV(C10,"arrayPreview")</f>
        <v/>
      </c>
      <c r="E10" t="str">
        <v>promedio</v>
      </c>
      <c r="F10" t="str">
        <v>sum_quantity</v>
      </c>
      <c r="G10" t="str">
        <v>count_invoices</v>
      </c>
      <c r="H10" t="str">
        <v>min_rating</v>
      </c>
      <c r="I10" t="str">
        <v>max_rating</v>
      </c>
    </row>
    <row r="11" spans="1:9" x14ac:dyDescent="0.25">
      <c r="D11" t="str">
        <v>City</v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spans="1:9" x14ac:dyDescent="0.25">
      <c r="D12" t="str">
        <v>Mandalay</v>
      </c>
      <c r="E12" s="3">
        <v>879247.60843373497</v>
      </c>
      <c r="F12" s="3">
        <v>1820</v>
      </c>
      <c r="G12" s="3">
        <v>332</v>
      </c>
      <c r="H12" s="3">
        <v>4</v>
      </c>
      <c r="I12" s="3">
        <v>99</v>
      </c>
    </row>
    <row r="13" spans="1:9" x14ac:dyDescent="0.25">
      <c r="D13" t="str">
        <v>Naypyitaw</v>
      </c>
      <c r="E13" s="3">
        <v>925844.79878048785</v>
      </c>
      <c r="F13" s="3">
        <v>1831</v>
      </c>
      <c r="G13" s="3">
        <v>328</v>
      </c>
      <c r="H13" s="3">
        <v>4</v>
      </c>
      <c r="I13" s="3">
        <v>99</v>
      </c>
    </row>
    <row r="14" spans="1:9" x14ac:dyDescent="0.25">
      <c r="D14" t="str">
        <v>Yangon</v>
      </c>
      <c r="E14" s="3">
        <v>827879.6029411765</v>
      </c>
      <c r="F14" s="3">
        <v>1859</v>
      </c>
      <c r="G14" s="3">
        <v>340</v>
      </c>
      <c r="H14" s="3">
        <v>4</v>
      </c>
      <c r="I14" s="3">
        <v>99</v>
      </c>
    </row>
    <row r="16" spans="1:9" x14ac:dyDescent="0.25">
      <c r="A16" s="5">
        <v>5</v>
      </c>
      <c r="B16" s="5" t="s">
        <v>1130</v>
      </c>
      <c r="C16" t="e" cm="1" vm="6">
        <f t="array" ref="C16">_xlfn._xlws.PY(5,1)</f>
        <v>#VALUE!</v>
      </c>
      <c r="D16" t="str" cm="1">
        <f t="array" ref="D16:I23">_FV(C16,"arrayPreview")</f>
        <v/>
      </c>
      <c r="E16" t="str">
        <v/>
      </c>
      <c r="F16" t="str">
        <v>mean_total</v>
      </c>
      <c r="G16" t="str">
        <v>sum_quantity</v>
      </c>
      <c r="H16" t="str">
        <v>count_invoices</v>
      </c>
      <c r="I16" t="str">
        <v>avg_rating</v>
      </c>
    </row>
    <row r="17" spans="1:9" x14ac:dyDescent="0.25">
      <c r="D17" t="str">
        <v>City</v>
      </c>
      <c r="E17" t="str">
        <v>Customer type</v>
      </c>
      <c r="F17" t="str">
        <v/>
      </c>
      <c r="G17" t="str">
        <v/>
      </c>
      <c r="H17" t="str">
        <v/>
      </c>
      <c r="I17" t="str">
        <v/>
      </c>
    </row>
    <row r="18" spans="1:9" x14ac:dyDescent="0.25">
      <c r="D18" t="str">
        <v>Mandalay</v>
      </c>
      <c r="E18" t="str">
        <v>Member</v>
      </c>
      <c r="F18" s="3">
        <v>984775.65454545454</v>
      </c>
      <c r="G18" s="3">
        <v>924</v>
      </c>
      <c r="H18" s="3">
        <v>165</v>
      </c>
      <c r="I18" s="3">
        <v>56.903030303030306</v>
      </c>
    </row>
    <row r="19" spans="1:9" x14ac:dyDescent="0.25">
      <c r="D19" t="str">
        <v>Mandalay</v>
      </c>
      <c r="E19" t="str">
        <v>Normal</v>
      </c>
      <c r="F19" s="3">
        <v>774983.37125748501</v>
      </c>
      <c r="G19" s="3">
        <v>896</v>
      </c>
      <c r="H19" s="3">
        <v>167</v>
      </c>
      <c r="I19" s="3">
        <v>61.970059880239518</v>
      </c>
    </row>
    <row r="20" spans="1:9" x14ac:dyDescent="0.25">
      <c r="D20" t="str">
        <v>Naypyitaw</v>
      </c>
      <c r="E20" t="str">
        <v>Member</v>
      </c>
      <c r="F20" s="3">
        <v>1080989.0414201184</v>
      </c>
      <c r="G20" s="3">
        <v>897</v>
      </c>
      <c r="H20" s="3">
        <v>169</v>
      </c>
      <c r="I20" s="3">
        <v>64.89349112426035</v>
      </c>
    </row>
    <row r="21" spans="1:9" x14ac:dyDescent="0.25">
      <c r="D21" t="str">
        <v>Naypyitaw</v>
      </c>
      <c r="E21" t="str">
        <v>Normal</v>
      </c>
      <c r="F21" s="3">
        <v>760943.05660377361</v>
      </c>
      <c r="G21" s="3">
        <v>934</v>
      </c>
      <c r="H21" s="3">
        <v>159</v>
      </c>
      <c r="I21" s="3">
        <v>63.515723270440255</v>
      </c>
    </row>
    <row r="22" spans="1:9" x14ac:dyDescent="0.25">
      <c r="D22" t="str">
        <v>Yangon</v>
      </c>
      <c r="E22" t="str">
        <v>Member</v>
      </c>
      <c r="F22" s="3">
        <v>725360.11976047908</v>
      </c>
      <c r="G22" s="3">
        <v>964</v>
      </c>
      <c r="H22" s="3">
        <v>167</v>
      </c>
      <c r="I22" s="3">
        <v>63.790419161676645</v>
      </c>
    </row>
    <row r="23" spans="1:9" x14ac:dyDescent="0.25">
      <c r="D23" t="str">
        <v>Yangon</v>
      </c>
      <c r="E23" t="str">
        <v>Normal</v>
      </c>
      <c r="F23" s="3">
        <v>926843.49710982654</v>
      </c>
      <c r="G23" s="3">
        <v>895</v>
      </c>
      <c r="H23" s="3">
        <v>173</v>
      </c>
      <c r="I23" s="3">
        <v>64.092485549132945</v>
      </c>
    </row>
    <row r="26" spans="1:9" x14ac:dyDescent="0.25">
      <c r="A26" s="6" t="s">
        <v>1131</v>
      </c>
      <c r="B26" s="6"/>
      <c r="C26" s="6"/>
      <c r="D26" s="6"/>
      <c r="E26" s="6"/>
      <c r="F26" s="6"/>
    </row>
    <row r="27" spans="1:9" x14ac:dyDescent="0.25">
      <c r="A27" s="6"/>
      <c r="B27" s="6"/>
      <c r="C27" s="6"/>
      <c r="D27" s="6"/>
      <c r="E27" s="6"/>
      <c r="F27" s="6"/>
    </row>
    <row r="28" spans="1:9" x14ac:dyDescent="0.25">
      <c r="A28" s="6"/>
      <c r="B28" s="6"/>
      <c r="C28" s="6"/>
      <c r="D28" s="6"/>
      <c r="E28" s="6"/>
      <c r="F28" s="6"/>
    </row>
    <row r="32" spans="1:9" x14ac:dyDescent="0.25">
      <c r="B32" t="s">
        <v>1132</v>
      </c>
      <c r="C32" t="e" cm="1" vm="7">
        <f t="array" ref="C32">_xlfn._xlws.PY(6,1)</f>
        <v>#VALUE!</v>
      </c>
    </row>
  </sheetData>
  <mergeCells count="1">
    <mergeCell ref="A26:F2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9FE58D-22D2-446B-A6F0-D505D10997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supermarket_sales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Elkin Rodriguez Escamilla</dc:creator>
  <cp:lastModifiedBy>Elkin Rodriguez Escamilla</cp:lastModifiedBy>
  <dcterms:created xsi:type="dcterms:W3CDTF">2025-12-10T21:12:21Z</dcterms:created>
  <dcterms:modified xsi:type="dcterms:W3CDTF">2025-12-10T21:53:08Z</dcterms:modified>
</cp:coreProperties>
</file>