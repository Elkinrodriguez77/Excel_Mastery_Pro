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22b0b09328d329/Data World/Programas/Excel Básico a Avanzado/Carpeta para compartir/Talleres/"/>
    </mc:Choice>
  </mc:AlternateContent>
  <xr:revisionPtr revIDLastSave="569" documentId="8_{717B30E0-2544-4E39-B67E-07B5BB927D6C}" xr6:coauthVersionLast="47" xr6:coauthVersionMax="47" xr10:uidLastSave="{9D2FFB13-86E7-402B-A516-459EB9686988}"/>
  <bookViews>
    <workbookView xWindow="-108" yWindow="-108" windowWidth="23256" windowHeight="12456" xr2:uid="{0B9CFE03-FE8F-49FF-A0B0-DD1DFFA1B10C}"/>
  </bookViews>
  <sheets>
    <sheet name="Dash" sheetId="1" r:id="rId1"/>
    <sheet name="DB" sheetId="2" r:id="rId2"/>
    <sheet name="Data" sheetId="3" r:id="rId3"/>
  </sheets>
  <definedNames>
    <definedName name="_xlchart.v1.0" hidden="1">Data!$E$56</definedName>
    <definedName name="_xlchart.v1.1" hidden="1">Data!$E$57:$E$135</definedName>
    <definedName name="_xlchart.v1.2" hidden="1">Data!$F$56</definedName>
    <definedName name="_xlchart.v1.3" hidden="1">Data!$F$57:$F$135</definedName>
    <definedName name="DatosExternos_1" localSheetId="1" hidden="1">DB!$A$1:$K$419</definedName>
    <definedName name="SegmentaciónDeDatos_Puerto_de_embarque">#N/A</definedName>
    <definedName name="SegmentaciónDeDatos_Sexo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5" i="3" l="1"/>
  <c r="E135" i="3"/>
  <c r="F134" i="3"/>
  <c r="E134" i="3"/>
  <c r="F133" i="3"/>
  <c r="E133" i="3"/>
  <c r="F132" i="3"/>
  <c r="E132" i="3"/>
  <c r="F131" i="3"/>
  <c r="E131" i="3"/>
  <c r="F130" i="3"/>
  <c r="E130" i="3"/>
  <c r="F129" i="3"/>
  <c r="E129" i="3"/>
  <c r="F128" i="3"/>
  <c r="E128" i="3"/>
  <c r="F127" i="3"/>
  <c r="E127" i="3"/>
  <c r="F126" i="3"/>
  <c r="E126" i="3"/>
  <c r="F125" i="3"/>
  <c r="E125" i="3"/>
  <c r="F124" i="3"/>
  <c r="E124" i="3"/>
  <c r="F123" i="3"/>
  <c r="E123" i="3"/>
  <c r="F122" i="3"/>
  <c r="E122" i="3"/>
  <c r="F121" i="3"/>
  <c r="E121" i="3"/>
  <c r="F120" i="3"/>
  <c r="E120" i="3"/>
  <c r="F119" i="3"/>
  <c r="E119" i="3"/>
  <c r="F118" i="3"/>
  <c r="E118" i="3"/>
  <c r="F117" i="3"/>
  <c r="E117" i="3"/>
  <c r="F116" i="3"/>
  <c r="E116" i="3"/>
  <c r="F115" i="3"/>
  <c r="E115" i="3"/>
  <c r="F114" i="3"/>
  <c r="E114" i="3"/>
  <c r="F113" i="3"/>
  <c r="E113" i="3"/>
  <c r="F112" i="3"/>
  <c r="E112" i="3"/>
  <c r="F111" i="3"/>
  <c r="E111" i="3"/>
  <c r="F110" i="3"/>
  <c r="E110" i="3"/>
  <c r="F109" i="3"/>
  <c r="E109" i="3"/>
  <c r="F108" i="3"/>
  <c r="E108" i="3"/>
  <c r="F107" i="3"/>
  <c r="E107" i="3"/>
  <c r="F106" i="3"/>
  <c r="E106" i="3"/>
  <c r="F105" i="3"/>
  <c r="E105" i="3"/>
  <c r="F104" i="3"/>
  <c r="E104" i="3"/>
  <c r="F103" i="3"/>
  <c r="E103" i="3"/>
  <c r="F102" i="3"/>
  <c r="E102" i="3"/>
  <c r="F101" i="3"/>
  <c r="E101" i="3"/>
  <c r="F100" i="3"/>
  <c r="E100" i="3"/>
  <c r="F99" i="3"/>
  <c r="E99" i="3"/>
  <c r="F98" i="3"/>
  <c r="E98" i="3"/>
  <c r="F97" i="3"/>
  <c r="E97" i="3"/>
  <c r="F96" i="3"/>
  <c r="E96" i="3"/>
  <c r="F95" i="3"/>
  <c r="E95" i="3"/>
  <c r="F94" i="3"/>
  <c r="E94" i="3"/>
  <c r="F93" i="3"/>
  <c r="E93" i="3"/>
  <c r="F92" i="3"/>
  <c r="E92" i="3"/>
  <c r="F91" i="3"/>
  <c r="E91" i="3"/>
  <c r="F90" i="3"/>
  <c r="E90" i="3"/>
  <c r="F89" i="3"/>
  <c r="E89" i="3"/>
  <c r="F88" i="3"/>
  <c r="E88" i="3"/>
  <c r="F87" i="3"/>
  <c r="E87" i="3"/>
  <c r="F86" i="3"/>
  <c r="E86" i="3"/>
  <c r="F85" i="3"/>
  <c r="E85" i="3"/>
  <c r="F84" i="3"/>
  <c r="E84" i="3"/>
  <c r="F83" i="3"/>
  <c r="E83" i="3"/>
  <c r="F82" i="3"/>
  <c r="E82" i="3"/>
  <c r="F81" i="3"/>
  <c r="E81" i="3"/>
  <c r="F80" i="3"/>
  <c r="E80" i="3"/>
  <c r="F79" i="3"/>
  <c r="E79" i="3"/>
  <c r="F78" i="3"/>
  <c r="E78" i="3"/>
  <c r="F77" i="3"/>
  <c r="E77" i="3"/>
  <c r="F76" i="3"/>
  <c r="E76" i="3"/>
  <c r="F75" i="3"/>
  <c r="E75" i="3"/>
  <c r="F74" i="3"/>
  <c r="E74" i="3"/>
  <c r="F73" i="3"/>
  <c r="E73" i="3"/>
  <c r="F72" i="3"/>
  <c r="E72" i="3"/>
  <c r="F71" i="3"/>
  <c r="E71" i="3"/>
  <c r="F70" i="3"/>
  <c r="E70" i="3"/>
  <c r="F69" i="3"/>
  <c r="E69" i="3"/>
  <c r="F68" i="3"/>
  <c r="E68" i="3"/>
  <c r="F67" i="3"/>
  <c r="E67" i="3"/>
  <c r="F66" i="3"/>
  <c r="E66" i="3"/>
  <c r="F65" i="3"/>
  <c r="E65" i="3"/>
  <c r="F64" i="3"/>
  <c r="E64" i="3"/>
  <c r="F63" i="3"/>
  <c r="E63" i="3"/>
  <c r="F62" i="3"/>
  <c r="E62" i="3"/>
  <c r="F61" i="3"/>
  <c r="E61" i="3"/>
  <c r="F60" i="3"/>
  <c r="E60" i="3"/>
  <c r="F59" i="3"/>
  <c r="E59" i="3"/>
  <c r="F58" i="3"/>
  <c r="E58" i="3"/>
  <c r="F57" i="3"/>
  <c r="E57" i="3"/>
  <c r="F56" i="3"/>
  <c r="E56" i="3"/>
  <c r="F24" i="3"/>
  <c r="H24" i="3" s="1"/>
  <c r="E24" i="3"/>
  <c r="H25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D7D201-FBB2-46DC-B2A1-48CCDECBB6C7}" keepAlive="1" name="Consulta - DB" description="Conexión a la consulta 'DB' en el libro." type="5" refreshedVersion="8" background="1" saveData="1">
    <dbPr connection="Provider=Microsoft.Mashup.OleDb.1;Data Source=$Workbook$;Location=DB;Extended Properties=&quot;&quot;" command="SELECT * FROM [DB]"/>
  </connection>
</connections>
</file>

<file path=xl/sharedStrings.xml><?xml version="1.0" encoding="utf-8"?>
<sst xmlns="http://schemas.openxmlformats.org/spreadsheetml/2006/main" count="1716" uniqueCount="813">
  <si>
    <t>IDPasajero</t>
  </si>
  <si>
    <t>Sobrevivió (0=No, 1=Si)</t>
  </si>
  <si>
    <t>Clase</t>
  </si>
  <si>
    <t>Nombre</t>
  </si>
  <si>
    <t>Sexo</t>
  </si>
  <si>
    <t>Edad (Años)</t>
  </si>
  <si>
    <t>Número de hermanos/cónyuges a bordo del Titanic</t>
  </si>
  <si>
    <t>Número de padres/hijos a bordo del Titanic</t>
  </si>
  <si>
    <t>ID Ticket</t>
  </si>
  <si>
    <t>Valor Ticket GBP (libras esterlinas)</t>
  </si>
  <si>
    <t>Puerto de embarque</t>
  </si>
  <si>
    <t>Kelly, Mr. James</t>
  </si>
  <si>
    <t>Hombre</t>
  </si>
  <si>
    <t>330911</t>
  </si>
  <si>
    <t>Queenstown</t>
  </si>
  <si>
    <t>Wilkes, Mrs. James (Ellen Needs)</t>
  </si>
  <si>
    <t>Mujer</t>
  </si>
  <si>
    <t>363272</t>
  </si>
  <si>
    <t>Southampton</t>
  </si>
  <si>
    <t>Myles, Mr. Thomas Francis</t>
  </si>
  <si>
    <t>240276</t>
  </si>
  <si>
    <t>Wirz, Mr. Albert</t>
  </si>
  <si>
    <t>315154</t>
  </si>
  <si>
    <t>Hirvonen, Mrs. Alexander (Helga E Lindqvist)</t>
  </si>
  <si>
    <t>3101298</t>
  </si>
  <si>
    <t>Svensson, Mr. Johan Cervin</t>
  </si>
  <si>
    <t>7538</t>
  </si>
  <si>
    <t>Connolly, Miss. Kate</t>
  </si>
  <si>
    <t>330972</t>
  </si>
  <si>
    <t>Caldwell, Mr. Albert Francis</t>
  </si>
  <si>
    <t>248738</t>
  </si>
  <si>
    <t>Abrahim, Mrs. Joseph (Sophie Halaut Easu)</t>
  </si>
  <si>
    <t>2657</t>
  </si>
  <si>
    <t>Cherbourg</t>
  </si>
  <si>
    <t>Davies, Mr. John Samuel</t>
  </si>
  <si>
    <t>A/4 48871</t>
  </si>
  <si>
    <t>Ilieff, Mr. Ylio</t>
  </si>
  <si>
    <t>349220</t>
  </si>
  <si>
    <t>Jones, Mr. Charles Cresson</t>
  </si>
  <si>
    <t>694</t>
  </si>
  <si>
    <t>Snyder, Mrs. John Pillsbury (Nelle Stevenson)</t>
  </si>
  <si>
    <t>21228</t>
  </si>
  <si>
    <t>Howard, Mr. Benjamin</t>
  </si>
  <si>
    <t>24065</t>
  </si>
  <si>
    <t>Chaffee, Mrs. Herbert Fuller (Carrie Constance Toogood)</t>
  </si>
  <si>
    <t>W.E.P. 5734</t>
  </si>
  <si>
    <t>del Carlo, Mrs. Sebastiano (Argenia Genovesi)</t>
  </si>
  <si>
    <t>SC/PARIS 2167</t>
  </si>
  <si>
    <t>Keane, Mr. Daniel</t>
  </si>
  <si>
    <t>233734</t>
  </si>
  <si>
    <t>Assaf, Mr. Gerios</t>
  </si>
  <si>
    <t>2692</t>
  </si>
  <si>
    <t>Ilmakangas, Miss. Ida Livija</t>
  </si>
  <si>
    <t>STON/O2. 3101270</t>
  </si>
  <si>
    <t>Assaf Khalil, Mrs. Mariana (Miriam")"</t>
  </si>
  <si>
    <t>2696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</si>
  <si>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</si>
  <si>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</si>
  <si>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</si>
  <si>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</si>
  <si>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</si>
  <si>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</si>
  <si>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</si>
  <si>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</si>
  <si>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</si>
  <si>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</si>
  <si>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Robins, Mr. Alexander A</t>
  </si>
  <si>
    <t>A/5. 3337</t>
  </si>
  <si>
    <t>Ostby, Miss. Helene Ragnhild</t>
  </si>
  <si>
    <t>113509</t>
  </si>
  <si>
    <t>Daher, Mr. Shedid</t>
  </si>
  <si>
    <t>2698</t>
  </si>
  <si>
    <t>Brady, Mr. John Bertram</t>
  </si>
  <si>
    <t>113054</t>
  </si>
  <si>
    <t>Samaan, Mr. Elias</t>
  </si>
  <si>
    <t>2662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</si>
  <si>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</si>
  <si>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</si>
  <si>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</si>
  <si>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</si>
  <si>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</si>
  <si>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</si>
  <si>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</si>
  <si>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</si>
  <si>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</si>
  <si>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13236</t>
  </si>
  <si>
    <t>Katavelas, Mr. Vassilios (Catavelas Vassilios")"</t>
  </si>
  <si>
    <t>2682</t>
  </si>
  <si>
    <t>Roth, Miss. Sarah A</t>
  </si>
  <si>
    <t>342712</t>
  </si>
  <si>
    <t>Cacic, Miss. Manda</t>
  </si>
  <si>
    <t>315087</t>
  </si>
  <si>
    <t>Sap, Mr. Julius</t>
  </si>
  <si>
    <t>345768</t>
  </si>
  <si>
    <t>Hee, Mr. Ling</t>
  </si>
  <si>
    <t>1601</t>
  </si>
  <si>
    <t>Karun, Mr. Franz</t>
  </si>
  <si>
    <t>349256</t>
  </si>
  <si>
    <t>Franklin, Mr. Thomas Parham</t>
  </si>
  <si>
    <t>113778</t>
  </si>
  <si>
    <t>Goldsmith, Mr. Nathan</t>
  </si>
  <si>
    <t>SOTON/O.Q. 3101263</t>
  </si>
  <si>
    <t>Corbett, Mrs. Walter H (Irene Colvin)</t>
  </si>
  <si>
    <t>237249</t>
  </si>
  <si>
    <t>Kimball, Mrs. Edwin Nelson Jr (Gertrude Parsons)</t>
  </si>
  <si>
    <t>11753</t>
  </si>
  <si>
    <t>Peltomaki, Mr. Nikolai Johannes</t>
  </si>
  <si>
    <t>STON/O 2. 3101291</t>
  </si>
  <si>
    <t>Chevre, Mr. Paul Romaine</t>
  </si>
  <si>
    <t>PC 17594</t>
  </si>
  <si>
    <t>Shaughnessy, Mr. Patrick</t>
  </si>
  <si>
    <t>370374</t>
  </si>
  <si>
    <t>Bucknell, Mrs. William Robert (Emma Eliza Ward)</t>
  </si>
  <si>
    <t>11813</t>
  </si>
  <si>
    <t>Coutts, Mrs. William (Winnie Minnie" Treanor)"</t>
  </si>
  <si>
    <t>C.A. 37671</t>
  </si>
  <si>
    <t>Smith, Mr. Lucien Philip</t>
  </si>
  <si>
    <t>13695</t>
  </si>
  <si>
    <t>Pulbaum, Mr. Franz</t>
  </si>
  <si>
    <t>SC/PARIS 2168</t>
  </si>
  <si>
    <t>Hocking, Miss. Ellen Nellie""</t>
  </si>
  <si>
    <t>29105</t>
  </si>
  <si>
    <t>Fortune, Miss. Ethel Flora</t>
  </si>
  <si>
    <t>19950</t>
  </si>
  <si>
    <t>Mangiavacchi, Mr. Serafino Emilio</t>
  </si>
  <si>
    <t>SC/A.3 2861</t>
  </si>
  <si>
    <t>Rice, Master. Albert</t>
  </si>
  <si>
    <t>382652</t>
  </si>
  <si>
    <t>Cor, Mr. Bartol</t>
  </si>
  <si>
    <t>349230</t>
  </si>
  <si>
    <t>Abelseth, Mr. Olaus Jorgensen</t>
  </si>
  <si>
    <t>348122</t>
  </si>
  <si>
    <t>Davison, Mr. Thomas Henry</t>
  </si>
  <si>
    <t>386525</t>
  </si>
  <si>
    <t>Chaudanson, Miss. Victorine</t>
  </si>
  <si>
    <t>Dika, Mr. Mirko</t>
  </si>
  <si>
    <t>349232</t>
  </si>
  <si>
    <t>McCrae, Mr. Arthur Gordon</t>
  </si>
  <si>
    <t>237216</t>
  </si>
  <si>
    <t>Bjorklund, Mr. Ernst Herbert</t>
  </si>
  <si>
    <t>347090</t>
  </si>
  <si>
    <t>Bradley, Miss. Bridget Delia</t>
  </si>
  <si>
    <t>334914</t>
  </si>
  <si>
    <t>Ryerson, Master. John Borie</t>
  </si>
  <si>
    <t>Corey, Mrs. Percy C (Mary Phyllis Elizabeth Miller)</t>
  </si>
  <si>
    <t>F.C.C. 13534</t>
  </si>
  <si>
    <t>Burns, Miss. Mary Delia</t>
  </si>
  <si>
    <t>330963</t>
  </si>
  <si>
    <t>Moore, Mr. Clarence Bloomfield</t>
  </si>
  <si>
    <t>113796</t>
  </si>
  <si>
    <t>Tucker, Mr. Gilbert Milligan Jr</t>
  </si>
  <si>
    <t>2543</t>
  </si>
  <si>
    <t>Fortune, Mrs. Mark (Mary McDougald)</t>
  </si>
  <si>
    <t>Mulvihill, Miss. Bertha E</t>
  </si>
  <si>
    <t>382653</t>
  </si>
  <si>
    <t>Minkoff, Mr. Lazar</t>
  </si>
  <si>
    <t>349211</t>
  </si>
  <si>
    <t>Nieminen, Miss. Manta Josefina</t>
  </si>
  <si>
    <t>3101297</t>
  </si>
  <si>
    <t>Ovies y Rodriguez, Mr. Servando</t>
  </si>
  <si>
    <t>PC 17562</t>
  </si>
  <si>
    <t>Geiger, Miss. Amalie</t>
  </si>
  <si>
    <t>113503</t>
  </si>
  <si>
    <t>Keeping, Mr. Edwin</t>
  </si>
  <si>
    <t>Miles, Mr. Frank</t>
  </si>
  <si>
    <t>359306</t>
  </si>
  <si>
    <t>Cornell, Mrs. Robert Clifford (Malvina Helen Lamson)</t>
  </si>
  <si>
    <t>11770</t>
  </si>
  <si>
    <t>Aldworth, Mr. Charles Augustus</t>
  </si>
  <si>
    <t>248744</t>
  </si>
  <si>
    <t>Doyle, Miss. Elizabeth</t>
  </si>
  <si>
    <t>368702</t>
  </si>
  <si>
    <t>Boulos, Master. Akar</t>
  </si>
  <si>
    <t>2678</t>
  </si>
  <si>
    <t>Straus, Mr. Isidor</t>
  </si>
  <si>
    <t>PC 17483</t>
  </si>
  <si>
    <t>Case, Mr. Howard Brown</t>
  </si>
  <si>
    <t>19924</t>
  </si>
  <si>
    <t>Demetri, Mr. Marinko</t>
  </si>
  <si>
    <t>349238</t>
  </si>
  <si>
    <t>Lamb, Mr. John Joseph</t>
  </si>
  <si>
    <t>240261</t>
  </si>
  <si>
    <t>Khalil, Mr. Betros</t>
  </si>
  <si>
    <t>2660</t>
  </si>
  <si>
    <t>Barry, Miss. Julia</t>
  </si>
  <si>
    <t>330844</t>
  </si>
  <si>
    <t>Badman, Miss. Emily Louisa</t>
  </si>
  <si>
    <t>A/4 31416</t>
  </si>
  <si>
    <t>O'Donoghue, Ms. Bridget</t>
  </si>
  <si>
    <t>364856</t>
  </si>
  <si>
    <t>Wells, Master. Ralph Lester</t>
  </si>
  <si>
    <t>29103</t>
  </si>
  <si>
    <t>Dyker, Mrs. Adolf Fredrik (Anna Elisabeth Judith Andersson)</t>
  </si>
  <si>
    <t>347072</t>
  </si>
  <si>
    <t>Pedersen, Mr. Olaf</t>
  </si>
  <si>
    <t>345498</t>
  </si>
  <si>
    <t>Davidson, Mrs. Thornton (Orian Hays)</t>
  </si>
  <si>
    <t>F.C. 12750</t>
  </si>
  <si>
    <t>Guest, Mr. Robert</t>
  </si>
  <si>
    <t>376563</t>
  </si>
  <si>
    <t>Birnbaum, Mr. Jakob</t>
  </si>
  <si>
    <t>13905</t>
  </si>
  <si>
    <t>Tenglin, Mr. Gunnar Isidor</t>
  </si>
  <si>
    <t>350033</t>
  </si>
  <si>
    <t>Cavendish, Mrs. Tyrell William (Julia Florence Siegel)</t>
  </si>
  <si>
    <t>19877</t>
  </si>
  <si>
    <t>Makinen, Mr. Kalle Edvard</t>
  </si>
  <si>
    <t>STON/O 2. 3101268</t>
  </si>
  <si>
    <t>Braf, Miss. Elin Ester Maria</t>
  </si>
  <si>
    <t>347471</t>
  </si>
  <si>
    <t>Nancarrow, Mr. William Henry</t>
  </si>
  <si>
    <t>A./5. 3338</t>
  </si>
  <si>
    <t>Stengel, Mrs. Charles Emil Henry (Annie May Morris)</t>
  </si>
  <si>
    <t>11778</t>
  </si>
  <si>
    <t>Weisz, Mr. Leopold</t>
  </si>
  <si>
    <t>228414</t>
  </si>
  <si>
    <t>Foley, Mr. William</t>
  </si>
  <si>
    <t>365235</t>
  </si>
  <si>
    <t>Johansson Palmquist, Mr. Oskar Leander</t>
  </si>
  <si>
    <t>347070</t>
  </si>
  <si>
    <t>Thomas, Mrs. Alexander (Thamine Thelma")"</t>
  </si>
  <si>
    <t>2625</t>
  </si>
  <si>
    <t>Holthen, Mr. Johan Martin</t>
  </si>
  <si>
    <t>C 4001</t>
  </si>
  <si>
    <t>Buckley, Mr. Daniel</t>
  </si>
  <si>
    <t>330920</t>
  </si>
  <si>
    <t>Ryan, Mr. Edward</t>
  </si>
  <si>
    <t>383162</t>
  </si>
  <si>
    <t>Willer, Mr. Aaron (Abi Weller")"</t>
  </si>
  <si>
    <t>3410</t>
  </si>
  <si>
    <t>Swane, Mr. George</t>
  </si>
  <si>
    <t>248734</t>
  </si>
  <si>
    <t>Stanton, Mr. Samuel Ward</t>
  </si>
  <si>
    <t>237734</t>
  </si>
  <si>
    <t>Shine, Miss. Ellen Natalia</t>
  </si>
  <si>
    <t>330968</t>
  </si>
  <si>
    <t>Evans, Miss. Edith Corse</t>
  </si>
  <si>
    <t>PC 17531</t>
  </si>
  <si>
    <t>Buckley, Miss. Katherine</t>
  </si>
  <si>
    <t>329944</t>
  </si>
  <si>
    <t>Straus, Mrs. Isidor (Rosalie Ida Blun)</t>
  </si>
  <si>
    <t>Chronopoulos, Mr. Demetrios</t>
  </si>
  <si>
    <t>2680</t>
  </si>
  <si>
    <t>Thomas, Mr. John</t>
  </si>
  <si>
    <t>2681</t>
  </si>
  <si>
    <t>Sandstrom, Miss. Beatrice Irene</t>
  </si>
  <si>
    <t>PP 9549</t>
  </si>
  <si>
    <t>Beattie, Mr. Thomson</t>
  </si>
  <si>
    <t>13050</t>
  </si>
  <si>
    <t>Chapman, Mrs. John Henry (Sara Elizabeth Lawry)</t>
  </si>
  <si>
    <t>SC/AH 29037</t>
  </si>
  <si>
    <t>Watt, Miss. Bertha J</t>
  </si>
  <si>
    <t>C.A. 33595</t>
  </si>
  <si>
    <t>Kiernan, Mr. John</t>
  </si>
  <si>
    <t>367227</t>
  </si>
  <si>
    <t>Schabert, Mrs. Paul (Emma Mock)</t>
  </si>
  <si>
    <t>Carver, Mr. Alfred John</t>
  </si>
  <si>
    <t>392095</t>
  </si>
  <si>
    <t>Kennedy, Mr. John</t>
  </si>
  <si>
    <t>368783</t>
  </si>
  <si>
    <t>Cribb, Miss. Laura Alice</t>
  </si>
  <si>
    <t>371362</t>
  </si>
  <si>
    <t>Brobeck, Mr. Karl Rudolf</t>
  </si>
  <si>
    <t>350045</t>
  </si>
  <si>
    <t>McCoy, Miss. Alicia</t>
  </si>
  <si>
    <t>367226</t>
  </si>
  <si>
    <t>Bowenur, Mr. Solomon</t>
  </si>
  <si>
    <t>211535</t>
  </si>
  <si>
    <t>Petersen, Mr. Marius</t>
  </si>
  <si>
    <t>342441</t>
  </si>
  <si>
    <t>Spinner, Mr. Henry John</t>
  </si>
  <si>
    <t>STON/OQ. 369943</t>
  </si>
  <si>
    <t>Gracie, Col. Archibald IV</t>
  </si>
  <si>
    <t>113780</t>
  </si>
  <si>
    <t>Lefebre, Mrs. Frank (Frances)</t>
  </si>
  <si>
    <t>4133</t>
  </si>
  <si>
    <t>Thomas, Mr. Charles P</t>
  </si>
  <si>
    <t>2621</t>
  </si>
  <si>
    <t>Dintcheff, Mr. Valtcho</t>
  </si>
  <si>
    <t>349226</t>
  </si>
  <si>
    <t>Carlsson, Mr. Carl Robert</t>
  </si>
  <si>
    <t>350409</t>
  </si>
  <si>
    <t>Zakarian, Mr. Mapriededer</t>
  </si>
  <si>
    <t>2656</t>
  </si>
  <si>
    <t>Schmidt, Mr. August</t>
  </si>
  <si>
    <t>248659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</si>
  <si>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</si>
  <si>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</si>
  <si>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</si>
  <si>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</si>
  <si>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</si>
  <si>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</si>
  <si>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113781</t>
  </si>
  <si>
    <t>Ryerson, Mr. Arthur Larned</t>
  </si>
  <si>
    <t>Beauchamp, Mr. Henry James</t>
  </si>
  <si>
    <t>244358</t>
  </si>
  <si>
    <t>Lindeberg-Lind, Mr. Erik Gustaf (Mr Edward Lingrey")"</t>
  </si>
  <si>
    <t>17475</t>
  </si>
  <si>
    <t>Vander Planke, Mr. Julius</t>
  </si>
  <si>
    <t>345763</t>
  </si>
  <si>
    <t>Hilliard, Mr. Herbert Henry</t>
  </si>
  <si>
    <t>17463</t>
  </si>
  <si>
    <t>Davies, Mr. Evan</t>
  </si>
  <si>
    <t>SC/A4 23568</t>
  </si>
  <si>
    <t>Crafton, Mr. John Bertram</t>
  </si>
  <si>
    <t>113791</t>
  </si>
  <si>
    <t>Lahtinen, Rev. William</t>
  </si>
  <si>
    <t>250651</t>
  </si>
  <si>
    <t>Earnshaw, Mrs. Boulton (Olive Potter)</t>
  </si>
  <si>
    <t>11767</t>
  </si>
  <si>
    <t>Matinoff, Mr. Nicola</t>
  </si>
  <si>
    <t>349255</t>
  </si>
  <si>
    <t>Storey, Mr. Thomas</t>
  </si>
  <si>
    <t>3701</t>
  </si>
  <si>
    <t>Klasen, Mrs. (Hulda Kristina Eugenia Lofqvist)</t>
  </si>
  <si>
    <t>350405</t>
  </si>
  <si>
    <t>Asplund, Master. Filip Oscar</t>
  </si>
  <si>
    <t>347077</t>
  </si>
  <si>
    <t>Duquemin, Mr. Joseph</t>
  </si>
  <si>
    <t>S.O./P.P. 752</t>
  </si>
  <si>
    <t>Bird, Miss. Ellen</t>
  </si>
  <si>
    <t>Lundin, Miss. Olga Elida</t>
  </si>
  <si>
    <t>347469</t>
  </si>
  <si>
    <t>Borebank, Mr. John James</t>
  </si>
  <si>
    <t>110489</t>
  </si>
  <si>
    <t>Peacock, Mrs. Benjamin (Edith Nile)</t>
  </si>
  <si>
    <t>SOTON/O.Q. 3101315</t>
  </si>
  <si>
    <t>Smyth, Miss. Julia</t>
  </si>
  <si>
    <t>335432</t>
  </si>
  <si>
    <t>Touma, Master. Georges Youssef</t>
  </si>
  <si>
    <t>2650</t>
  </si>
  <si>
    <t>Wright, Miss. Marion</t>
  </si>
  <si>
    <t>220844</t>
  </si>
  <si>
    <t>Pearce, Mr. Ernest</t>
  </si>
  <si>
    <t>343271</t>
  </si>
  <si>
    <t>Peruschitz, Rev. Joseph Maria</t>
  </si>
  <si>
    <t>237393</t>
  </si>
  <si>
    <t>Kink-Heilmann, Mrs. Anton (Luise Heilmann)</t>
  </si>
  <si>
    <t>315153</t>
  </si>
  <si>
    <t>Brandeis, Mr. Emil</t>
  </si>
  <si>
    <t>PC 17591</t>
  </si>
  <si>
    <t>Ford, Mr. Edward Watson</t>
  </si>
  <si>
    <t>W./C. 6608</t>
  </si>
  <si>
    <t>Cassebeer, Mrs. Henry Arthur Jr (Eleanor Genevieve Fosdick)</t>
  </si>
  <si>
    <t>17770</t>
  </si>
  <si>
    <t>Hellstrom, Miss. Hilda Maria</t>
  </si>
  <si>
    <t>7548</t>
  </si>
  <si>
    <t>Lithman, Mr. Simon</t>
  </si>
  <si>
    <t>S.O./P.P. 251</t>
  </si>
  <si>
    <t>Zakarian, Mr. Ortin</t>
  </si>
  <si>
    <t>2670</t>
  </si>
  <si>
    <t>Dyker, Mr. Adolf Fredrik</t>
  </si>
  <si>
    <t>Torfa, Mr. Assad</t>
  </si>
  <si>
    <t>2673</t>
  </si>
  <si>
    <t>Asplund, Mr. Carl Oscar Vilhelm Gustafsson</t>
  </si>
  <si>
    <t>Brown, Miss. Edith Eileen</t>
  </si>
  <si>
    <t>29750</t>
  </si>
  <si>
    <t>Sincock, Miss. Maude</t>
  </si>
  <si>
    <t>C.A. 33112</t>
  </si>
  <si>
    <t>Stengel, Mr. Charles Emil Henry</t>
  </si>
  <si>
    <t>Becker, Mrs. Allen Oliver (Nellie E Baumgardner)</t>
  </si>
  <si>
    <t>230136</t>
  </si>
  <si>
    <t>Compton, Mrs. Alexander Taylor (Mary Eliza Ingersoll)</t>
  </si>
  <si>
    <t>PC 17756</t>
  </si>
  <si>
    <t>McCrie, Mr. James Matthew</t>
  </si>
  <si>
    <t>233478</t>
  </si>
  <si>
    <t>Compton, Mr. Alexander Taylor Jr</t>
  </si>
  <si>
    <t>Marvin, Mrs. Daniel Warner (Mary Graham Carmichael Farquarson)</t>
  </si>
  <si>
    <t>113773</t>
  </si>
  <si>
    <t>Lane, Mr. Patrick</t>
  </si>
  <si>
    <t>7935</t>
  </si>
  <si>
    <t>Douglas, Mrs. Frederick Charles (Mary Helene Baxter)</t>
  </si>
  <si>
    <t>PC 17558</t>
  </si>
  <si>
    <t>Maybery, Mr. Frank Hubert</t>
  </si>
  <si>
    <t>239059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</si>
  <si>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</si>
  <si>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</si>
  <si>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</si>
  <si>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</si>
  <si>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</si>
  <si>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</si>
  <si>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</si>
  <si>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28221</t>
  </si>
  <si>
    <t>Angle, Mr. William A</t>
  </si>
  <si>
    <t>226875</t>
  </si>
  <si>
    <t>Salomon, Mr. Abraham L</t>
  </si>
  <si>
    <t>111163</t>
  </si>
  <si>
    <t>van Billiard, Master. Walter John</t>
  </si>
  <si>
    <t>A/5. 851</t>
  </si>
  <si>
    <t>Lingane, Mr. John</t>
  </si>
  <si>
    <t>235509</t>
  </si>
  <si>
    <t>Drew, Master. Marshall Brines</t>
  </si>
  <si>
    <t>28220</t>
  </si>
  <si>
    <t>Karlsson, Mr. Julius Konrad Eugen</t>
  </si>
  <si>
    <t>347465</t>
  </si>
  <si>
    <t>Spedden, Master. Robert Douglas</t>
  </si>
  <si>
    <t>16966</t>
  </si>
  <si>
    <t>Nilsson, Miss. Berta Olivia</t>
  </si>
  <si>
    <t>347066</t>
  </si>
  <si>
    <t>Baimbrigge, Mr. Charles Robert</t>
  </si>
  <si>
    <t>C.A. 31030</t>
  </si>
  <si>
    <t>Rasmussen, Mrs. (Lena Jacobsen Solvang)</t>
  </si>
  <si>
    <t>65305</t>
  </si>
  <si>
    <t>Murphy, Miss. Nora</t>
  </si>
  <si>
    <t>36568</t>
  </si>
  <si>
    <t>Danbom, Master. Gilbert Sigvard Emanuel</t>
  </si>
  <si>
    <t>347080</t>
  </si>
  <si>
    <t>Astor, Col. John Jacob</t>
  </si>
  <si>
    <t>PC 17757</t>
  </si>
  <si>
    <t>Quick, Miss. Winifred Vera</t>
  </si>
  <si>
    <t>26360</t>
  </si>
  <si>
    <t>Andrew, Mr. Frank Thomas</t>
  </si>
  <si>
    <t>C.A. 34050</t>
  </si>
  <si>
    <t>Omont, Mr. Alfred Fernand</t>
  </si>
  <si>
    <t>F.C. 12998</t>
  </si>
  <si>
    <t>McGowan, Miss. Katherine</t>
  </si>
  <si>
    <t>9232</t>
  </si>
  <si>
    <t>Collett, Mr. Sidney C Stuart</t>
  </si>
  <si>
    <t>28034</t>
  </si>
  <si>
    <t>Rosenbaum, Miss. Edith Louise</t>
  </si>
  <si>
    <t>PC 17613</t>
  </si>
  <si>
    <t>Delalic, Mr. Redjo</t>
  </si>
  <si>
    <t>349250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</si>
  <si>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</si>
  <si>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</si>
  <si>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</si>
  <si>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</si>
  <si>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</si>
  <si>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</si>
  <si>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</si>
  <si>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347091</t>
  </si>
  <si>
    <t>Head, Mr. Christopher</t>
  </si>
  <si>
    <t>113038</t>
  </si>
  <si>
    <t>Mahon, Miss. Bridget Delia</t>
  </si>
  <si>
    <t>330924</t>
  </si>
  <si>
    <t>Wick, Mr. George Dennick</t>
  </si>
  <si>
    <t>36928</t>
  </si>
  <si>
    <t>Widener, Mrs. George Dunton (Eleanor Elkins)</t>
  </si>
  <si>
    <t>Thomson, Mr. Alexander Morrison</t>
  </si>
  <si>
    <t>32302</t>
  </si>
  <si>
    <t>Duran y More, Miss. Florentina</t>
  </si>
  <si>
    <t>SC/PARIS 2148</t>
  </si>
  <si>
    <t>Reynolds, Mr. Harold J</t>
  </si>
  <si>
    <t>342684</t>
  </si>
  <si>
    <t>Cook, Mrs. (Selena Rogers)</t>
  </si>
  <si>
    <t>W./C. 14266</t>
  </si>
  <si>
    <t>Karlsson, Mr. Einar Gervasius</t>
  </si>
  <si>
    <t>350053</t>
  </si>
  <si>
    <t>Candee, Mrs. Edward (Helen Churchill Hungerford)</t>
  </si>
  <si>
    <t>PC 17606</t>
  </si>
  <si>
    <t>Moubarek, Mrs. George (Omine Amenia" Alexander)"</t>
  </si>
  <si>
    <t>2661</t>
  </si>
  <si>
    <t>Asplund, Mr. Johan Charles</t>
  </si>
  <si>
    <t>350054</t>
  </si>
  <si>
    <t>McNeill, Miss. Bridget</t>
  </si>
  <si>
    <t>370368</t>
  </si>
  <si>
    <t>Everett, Mr. Thomas James</t>
  </si>
  <si>
    <t>C.A. 6212</t>
  </si>
  <si>
    <t>Hocking, Mr. Samuel James Metcalfe</t>
  </si>
  <si>
    <t>242963</t>
  </si>
  <si>
    <t>Sweet, Mr. George Frederick</t>
  </si>
  <si>
    <t>220845</t>
  </si>
  <si>
    <t>Willard, Miss. Constance</t>
  </si>
  <si>
    <t>113795</t>
  </si>
  <si>
    <t>Wiklund, Mr. Karl Johan</t>
  </si>
  <si>
    <t>3101266</t>
  </si>
  <si>
    <t>Linehan, Mr. Michael</t>
  </si>
  <si>
    <t>330971</t>
  </si>
  <si>
    <t>Cumings, Mr. John Bradley</t>
  </si>
  <si>
    <t>PC 17599</t>
  </si>
  <si>
    <t>Vendel, Mr. Olof Edvin</t>
  </si>
  <si>
    <t>350416</t>
  </si>
  <si>
    <t>Warren, Mr. Frank Manley</t>
  </si>
  <si>
    <t>110813</t>
  </si>
  <si>
    <t>Baccos, Mr. Raffull</t>
  </si>
  <si>
    <t>2679</t>
  </si>
  <si>
    <t>Hiltunen, Miss. Marta</t>
  </si>
  <si>
    <t>250650</t>
  </si>
  <si>
    <t>Douglas, Mrs. Walter Donald (Mahala Dutton)</t>
  </si>
  <si>
    <t>PC 17761</t>
  </si>
  <si>
    <t>Lindstrom, Mrs. Carl Johan (Sigrid Posse)</t>
  </si>
  <si>
    <t>112377</t>
  </si>
  <si>
    <t>Christy, Mrs. (Alice Frances)</t>
  </si>
  <si>
    <t>237789</t>
  </si>
  <si>
    <t>Spedden, Mr. Frederic Oakley</t>
  </si>
  <si>
    <t>Hyman, Mr. Abraham</t>
  </si>
  <si>
    <t>3470</t>
  </si>
  <si>
    <t>Johnston, Master. William Arthur Willie""</t>
  </si>
  <si>
    <t>Kenyon, Mr. Frederick R</t>
  </si>
  <si>
    <t>17464</t>
  </si>
  <si>
    <t>Karnes, Mrs. J Frank (Claire Bennett)</t>
  </si>
  <si>
    <t>Drew, Mr. James Vivian</t>
  </si>
  <si>
    <t>Hold, Mrs. Stephen (Annie Margaret Hill)</t>
  </si>
  <si>
    <t>26707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</si>
  <si>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</si>
  <si>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</si>
  <si>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</si>
  <si>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</si>
  <si>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</si>
  <si>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</si>
  <si>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13508</t>
  </si>
  <si>
    <t>Salander, Mr. Karl Johan</t>
  </si>
  <si>
    <t>7266</t>
  </si>
  <si>
    <t>Wenzel, Mr. Linhart</t>
  </si>
  <si>
    <t>345775</t>
  </si>
  <si>
    <t>MacKay, Mr. George William</t>
  </si>
  <si>
    <t>C.A. 42795</t>
  </si>
  <si>
    <t>Mahon, Mr. John</t>
  </si>
  <si>
    <t>AQ/4 3130</t>
  </si>
  <si>
    <t>Niklasson, Mr. Samuel</t>
  </si>
  <si>
    <t>363611</t>
  </si>
  <si>
    <t>Bentham, Miss. Lilian W</t>
  </si>
  <si>
    <t>28404</t>
  </si>
  <si>
    <t>Midtsjo, Mr. Karl Albert</t>
  </si>
  <si>
    <t>345501</t>
  </si>
  <si>
    <t>de Messemaeker, Mr. Guillaume Joseph</t>
  </si>
  <si>
    <t>345572</t>
  </si>
  <si>
    <t>Nilsson, Mr. August Ferdinand</t>
  </si>
  <si>
    <t>350410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</si>
  <si>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</si>
  <si>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</si>
  <si>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</si>
  <si>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</si>
  <si>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</si>
  <si>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349235</t>
  </si>
  <si>
    <t>Chisholm, Mr. Roderick Robert Crispin</t>
  </si>
  <si>
    <t>112051</t>
  </si>
  <si>
    <t>Warren, Mr. Charles William</t>
  </si>
  <si>
    <t>C.A. 49867</t>
  </si>
  <si>
    <t>Howard, Miss. May Elizabeth</t>
  </si>
  <si>
    <t>A. 2. 39186</t>
  </si>
  <si>
    <t>Pokrnic, Mr. Mate</t>
  </si>
  <si>
    <t>315095</t>
  </si>
  <si>
    <t>McCaffry, Mr. Thomas Francis</t>
  </si>
  <si>
    <t>Fox, Mr. Patrick</t>
  </si>
  <si>
    <t>368573</t>
  </si>
  <si>
    <t>Clark, Mrs. Walter Miller (Virginia McDowell)</t>
  </si>
  <si>
    <t>Lennon, Miss. Mary</t>
  </si>
  <si>
    <t>370371</t>
  </si>
  <si>
    <t>Saade, Mr. Jean Nassr</t>
  </si>
  <si>
    <t>2676</t>
  </si>
  <si>
    <t xml:space="preserve">Bryhl, Miss. Dagmar Jenny Ingeborg </t>
  </si>
  <si>
    <t>236853</t>
  </si>
  <si>
    <t>Parker, Mr. Clifford Richard</t>
  </si>
  <si>
    <t>SC 14888</t>
  </si>
  <si>
    <t>Faunthorpe, Mr. Harry</t>
  </si>
  <si>
    <t>2926</t>
  </si>
  <si>
    <t>Ware, Mr. John James</t>
  </si>
  <si>
    <t>CA 31352</t>
  </si>
  <si>
    <t>Oxenham, Mr. Percy Thomas</t>
  </si>
  <si>
    <t>W./C. 14260</t>
  </si>
  <si>
    <t>Oreskovic, Miss. Jelka</t>
  </si>
  <si>
    <t>315085</t>
  </si>
  <si>
    <t>Peacock, Master. Alfred Edward</t>
  </si>
  <si>
    <t>Fleming, Miss. Honora</t>
  </si>
  <si>
    <t>364859</t>
  </si>
  <si>
    <t>Touma, Miss. Maria Youssef</t>
  </si>
  <si>
    <t>Rosblom, Miss. Salli Helena</t>
  </si>
  <si>
    <t>370129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</si>
  <si>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</si>
  <si>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</si>
  <si>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</si>
  <si>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</si>
  <si>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</si>
  <si>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</si>
  <si>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2655</t>
  </si>
  <si>
    <t>Ford, Mr. Arthur</t>
  </si>
  <si>
    <t>A/5 1478</t>
  </si>
  <si>
    <t>Rheims, Mr. George Alexander Lucien</t>
  </si>
  <si>
    <t>PC 17607</t>
  </si>
  <si>
    <t>Daly, Miss. Margaret Marcella Maggie""</t>
  </si>
  <si>
    <t>382650</t>
  </si>
  <si>
    <t>Nasr, Mr. Mustafa</t>
  </si>
  <si>
    <t>2652</t>
  </si>
  <si>
    <t>Dodge, Dr. Washington</t>
  </si>
  <si>
    <t>33638</t>
  </si>
  <si>
    <t>Wittevrongel, Mr. Camille</t>
  </si>
  <si>
    <t>345771</t>
  </si>
  <si>
    <t>Angheloff, Mr. Minko</t>
  </si>
  <si>
    <t>349202</t>
  </si>
  <si>
    <t>Laroche, Miss. Louise</t>
  </si>
  <si>
    <t>SC/Paris 2123</t>
  </si>
  <si>
    <t>Samaan, Mr. Hanna</t>
  </si>
  <si>
    <t>Loring, Mr. Joseph Holland</t>
  </si>
  <si>
    <t>113801</t>
  </si>
  <si>
    <t>Johansson, Mr. Nils</t>
  </si>
  <si>
    <t>347467</t>
  </si>
  <si>
    <t>Olsson, Mr. Oscar Wilhelm</t>
  </si>
  <si>
    <t>347079</t>
  </si>
  <si>
    <t>Malachard, Mr. Noel</t>
  </si>
  <si>
    <t>237735</t>
  </si>
  <si>
    <t>Phillips, Mr. Escott Robert</t>
  </si>
  <si>
    <t>Pokrnic, Mr. Tome</t>
  </si>
  <si>
    <t>315092</t>
  </si>
  <si>
    <t>McCarthy, Miss. Catherine Katie""</t>
  </si>
  <si>
    <t>383123</t>
  </si>
  <si>
    <t>Crosby, Mrs. Edward Gifford (Catherine Elizabeth Halstead)</t>
  </si>
  <si>
    <t>112901</t>
  </si>
  <si>
    <t>Allison, Mr. Hudson Joshua Creighton</t>
  </si>
  <si>
    <t>Aks, Master. Philip Frank</t>
  </si>
  <si>
    <t>392091</t>
  </si>
  <si>
    <t>Hays, Mr. Charles Melville</t>
  </si>
  <si>
    <t>12749</t>
  </si>
  <si>
    <t>Hansen, Mrs. Claus Peter (Jennie L Howard)</t>
  </si>
  <si>
    <t>350026</t>
  </si>
  <si>
    <t>Cacic, Mr. Jego Grga</t>
  </si>
  <si>
    <t>315091</t>
  </si>
  <si>
    <t>Vartanian, Mr. David</t>
  </si>
  <si>
    <t>2658</t>
  </si>
  <si>
    <t>Sadowitz, Mr. Harry</t>
  </si>
  <si>
    <t>LP 1588</t>
  </si>
  <si>
    <t>Carr, Miss. Jeannie</t>
  </si>
  <si>
    <t>368364</t>
  </si>
  <si>
    <t>White, Mrs. John Stuart (Ella Holmes)</t>
  </si>
  <si>
    <t>PC 17760</t>
  </si>
  <si>
    <t>Hagardon, Miss. Kate</t>
  </si>
  <si>
    <t>AQ/3. 30631</t>
  </si>
  <si>
    <t>Spencer, Mr. William Augustus</t>
  </si>
  <si>
    <t>PC 17569</t>
  </si>
  <si>
    <t>Rogers, Mr. Reginald Harry</t>
  </si>
  <si>
    <t>28004</t>
  </si>
  <si>
    <t>Jonsson, Mr. Nils Hilding</t>
  </si>
  <si>
    <t>350408</t>
  </si>
  <si>
    <t>Jefferys, Mr. Ernest Wilfred</t>
  </si>
  <si>
    <t>Andersson, Mr. Johan Samuel</t>
  </si>
  <si>
    <t>347075</t>
  </si>
  <si>
    <t>Krekorian, Mr. Neshan</t>
  </si>
  <si>
    <t>2654</t>
  </si>
  <si>
    <t>Nesson, Mr. Israel</t>
  </si>
  <si>
    <t>244368</t>
  </si>
  <si>
    <t>Rowe, Mr. Alfred G</t>
  </si>
  <si>
    <t>113790</t>
  </si>
  <si>
    <t>Kreuchen, Miss. Emilie</t>
  </si>
  <si>
    <t>24160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</si>
  <si>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</si>
  <si>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</si>
  <si>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</si>
  <si>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</si>
  <si>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</si>
  <si>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</si>
  <si>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2003</t>
  </si>
  <si>
    <t>Enander, Mr. Ingvar</t>
  </si>
  <si>
    <t>236854</t>
  </si>
  <si>
    <t xml:space="preserve">Davies, Mrs. John Morgan (Elizabeth Agnes Mary White) </t>
  </si>
  <si>
    <t>Dulles, Mr. William Crothers</t>
  </si>
  <si>
    <t>PC 17580</t>
  </si>
  <si>
    <t>Thomas, Mr. Tannous</t>
  </si>
  <si>
    <t>2684</t>
  </si>
  <si>
    <t>Nakid, Mrs. Said (Waika Mary" Mowad)"</t>
  </si>
  <si>
    <t>2653</t>
  </si>
  <si>
    <t>Cor, Mr. Ivan</t>
  </si>
  <si>
    <t>349229</t>
  </si>
  <si>
    <t>Maguire, Mr. John Edward</t>
  </si>
  <si>
    <t>110469</t>
  </si>
  <si>
    <t>de Brito, Mr. Jose Joaquim</t>
  </si>
  <si>
    <t>244360</t>
  </si>
  <si>
    <t>Elias, Mr. Joseph</t>
  </si>
  <si>
    <t>2675</t>
  </si>
  <si>
    <t>Denbury, Mr. Herbert</t>
  </si>
  <si>
    <t>Betros, Master. Seman</t>
  </si>
  <si>
    <t>2622</t>
  </si>
  <si>
    <t>Fillbrook, Mr. Joseph Charles</t>
  </si>
  <si>
    <t>C.A. 15185</t>
  </si>
  <si>
    <t>Lundstrom, Mr. Thure Edvin</t>
  </si>
  <si>
    <t>350403</t>
  </si>
  <si>
    <t>Sage, Mr. John George</t>
  </si>
  <si>
    <t>Cardeza, Mrs. James Warburton Martinez (Charlotte Wardle Drake)</t>
  </si>
  <si>
    <t>PC 17755</t>
  </si>
  <si>
    <t>van Billiard, Master. James William</t>
  </si>
  <si>
    <t>Abelseth, Miss. Karen Marie</t>
  </si>
  <si>
    <t>348125</t>
  </si>
  <si>
    <t>Botsford, Mr. William Hull</t>
  </si>
  <si>
    <t>237670</t>
  </si>
  <si>
    <t>Whabee, Mrs. George Joseph (Shawneene Abi-Saab)</t>
  </si>
  <si>
    <t>2688</t>
  </si>
  <si>
    <t>Giles, Mr. Ralph</t>
  </si>
  <si>
    <t>248726</t>
  </si>
  <si>
    <t>Walcroft, Miss. Nellie</t>
  </si>
  <si>
    <t>F.C.C. 13528</t>
  </si>
  <si>
    <t>Greenfield, Mrs. Leo David (Blanche Strouse)</t>
  </si>
  <si>
    <t>PC 17759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</si>
  <si>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</si>
  <si>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</si>
  <si>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</si>
  <si>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</si>
  <si>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</si>
  <si>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</si>
  <si>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113044</t>
  </si>
  <si>
    <t>Brown, Mrs. John Murray (Caroline Lane Lamson)</t>
  </si>
  <si>
    <t>11769</t>
  </si>
  <si>
    <t>Lockyer, Mr. Edward</t>
  </si>
  <si>
    <t>1222</t>
  </si>
  <si>
    <t>O'Keefe, Mr. Patrick</t>
  </si>
  <si>
    <t>368402</t>
  </si>
  <si>
    <t>Lindell, Mrs. Edvard Bengtsson (Elin Gerda Persson)</t>
  </si>
  <si>
    <t>349910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</si>
  <si>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</si>
  <si>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</si>
  <si>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</si>
  <si>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</si>
  <si>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</si>
  <si>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315083</t>
  </si>
  <si>
    <t>Harder, Mrs. George Achilles (Dorothy Annan)</t>
  </si>
  <si>
    <t>11765</t>
  </si>
  <si>
    <t>Sage, Mrs. John (Annie Bullen)</t>
  </si>
  <si>
    <t>Caram, Mr. Joseph</t>
  </si>
  <si>
    <t>2689</t>
  </si>
  <si>
    <t>Riihivouri, Miss. Susanna Juhantytar Sanni""</t>
  </si>
  <si>
    <t>3101295</t>
  </si>
  <si>
    <t>Gibson, Mrs. Leonard (Pauline C Boeson)</t>
  </si>
  <si>
    <t>112378</t>
  </si>
  <si>
    <t>Pallas y Castello, Mr. Emilio</t>
  </si>
  <si>
    <t>SC/PARIS 2147</t>
  </si>
  <si>
    <t>Giles, Mr. Edgar</t>
  </si>
  <si>
    <t>28133</t>
  </si>
  <si>
    <t>Wilson, Miss. Helen Alice</t>
  </si>
  <si>
    <t>Ismay, Mr. Joseph Bruce</t>
  </si>
  <si>
    <t>112058</t>
  </si>
  <si>
    <t>Harbeck, Mr. William H</t>
  </si>
  <si>
    <t>248746</t>
  </si>
  <si>
    <t>Dodge, Mrs. Washington (Ruth Vidaver)</t>
  </si>
  <si>
    <t>Bowen, Miss. Grace Scott</t>
  </si>
  <si>
    <t>Kink, Miss. Maria</t>
  </si>
  <si>
    <t>315152</t>
  </si>
  <si>
    <t>Cotterill, Mr. Henry Harry""</t>
  </si>
  <si>
    <t>29107</t>
  </si>
  <si>
    <t>Hipkins, Mr. William Edward</t>
  </si>
  <si>
    <t>680</t>
  </si>
  <si>
    <t>Asplund, Master. Carl Edgar</t>
  </si>
  <si>
    <t>O'Connor, Mr. Patrick</t>
  </si>
  <si>
    <t>366713</t>
  </si>
  <si>
    <t>Foley, Mr. Joseph</t>
  </si>
  <si>
    <t>330910</t>
  </si>
  <si>
    <t>Risien, Mrs. Samuel (Emma)</t>
  </si>
  <si>
    <t>364498</t>
  </si>
  <si>
    <t>McNamee, Mrs. Neal (Eileen O'Leary)</t>
  </si>
  <si>
    <t>376566</t>
  </si>
  <si>
    <t>Wheeler, Mr. Edwin Frederick""</t>
  </si>
  <si>
    <t>SC/PARIS 2159</t>
  </si>
  <si>
    <t>Herman, Miss. Kate</t>
  </si>
  <si>
    <t>Aronsson, Mr. Ernst Axel Algot</t>
  </si>
  <si>
    <t>349911</t>
  </si>
  <si>
    <t>Ashby, Mr. John</t>
  </si>
  <si>
    <t>244346</t>
  </si>
  <si>
    <t>Canavan, Mr. Patrick</t>
  </si>
  <si>
    <t>364858</t>
  </si>
  <si>
    <t>Palsson, Master. Paul Folke</t>
  </si>
  <si>
    <t>349909</t>
  </si>
  <si>
    <t>Payne, Mr. Vivian Ponsonby</t>
  </si>
  <si>
    <t>Lines, Mrs. Ernest H (Elizabeth Lindsey James)</t>
  </si>
  <si>
    <t>PC 17592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</si>
  <si>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</si>
  <si>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</si>
  <si>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</si>
  <si>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</si>
  <si>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</si>
  <si>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</si>
  <si>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</si>
  <si>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371109</t>
  </si>
  <si>
    <t>Frolicher-Stehli, Mrs. Maxmillian (Margaretha Emerentia Stehli)</t>
  </si>
  <si>
    <t>13567</t>
  </si>
  <si>
    <t>Larsson-Rondberg, Mr. Edvard A</t>
  </si>
  <si>
    <t>347065</t>
  </si>
  <si>
    <t>Conlon, Mr. Thomas Henry</t>
  </si>
  <si>
    <t>21332</t>
  </si>
  <si>
    <t>Bonnell, Miss. Caroline</t>
  </si>
  <si>
    <t>Gale, Mr. Harry</t>
  </si>
  <si>
    <t>28664</t>
  </si>
  <si>
    <t>Gibson, Miss. Dorothy Winifred</t>
  </si>
  <si>
    <t>Carrau, Mr. Jose Pedro</t>
  </si>
  <si>
    <t>113059</t>
  </si>
  <si>
    <t>Frauenthal, Mr. Isaac Gerald</t>
  </si>
  <si>
    <t>17765</t>
  </si>
  <si>
    <t>Nourney, Mr. Alfred (Baron von Drachstedt")"</t>
  </si>
  <si>
    <t>SC/PARIS 2166</t>
  </si>
  <si>
    <t>Ware, Mr. William Jeffery</t>
  </si>
  <si>
    <t>28666</t>
  </si>
  <si>
    <t>Widener, Mr. George Dunton</t>
  </si>
  <si>
    <t>Riordan, Miss. Johanna Hannah""</t>
  </si>
  <si>
    <t>334915</t>
  </si>
  <si>
    <t>Peacock, Miss. Treasteall</t>
  </si>
  <si>
    <t>Naughton, Miss. Hannah</t>
  </si>
  <si>
    <t>365237</t>
  </si>
  <si>
    <t>Minahan, Mrs. William Edward (Lillian E Thorpe)</t>
  </si>
  <si>
    <t>19928</t>
  </si>
  <si>
    <t>Henriksson, Miss. Jenny Lovisa</t>
  </si>
  <si>
    <t>347086</t>
  </si>
  <si>
    <t>Spector, Mr. Woolf</t>
  </si>
  <si>
    <t>A.5. 3236</t>
  </si>
  <si>
    <t>Oliva y Ocana, Dona. Fermina</t>
  </si>
  <si>
    <t>PC 17758</t>
  </si>
  <si>
    <t>Saether, Mr. Simon Sivertsen</t>
  </si>
  <si>
    <t>SOTON/O.Q. 3101262</t>
  </si>
  <si>
    <t>Ware, Mr. Frederick</t>
  </si>
  <si>
    <t>359309</t>
  </si>
  <si>
    <t>Peter, Master. Michael J</t>
  </si>
  <si>
    <t>2668</t>
  </si>
  <si>
    <t>Cuenta de ID Ticket</t>
  </si>
  <si>
    <t>Número de Pasajeros</t>
  </si>
  <si>
    <t>Etiquetas de fila</t>
  </si>
  <si>
    <t>Total general</t>
  </si>
  <si>
    <t>Número de Pasajeros por puerto</t>
  </si>
  <si>
    <t>Dashboard Titanic</t>
  </si>
  <si>
    <t>Murieron</t>
  </si>
  <si>
    <t>Sobrevivieron</t>
  </si>
  <si>
    <t>Número de pasajeros que sobrevivieron</t>
  </si>
  <si>
    <t>Promedio de Edad de los pasajeros</t>
  </si>
  <si>
    <t>Promedio de Edad (Años)</t>
  </si>
  <si>
    <t>Pasajeros por Sexo</t>
  </si>
  <si>
    <t>Pago Ticket por pasajero GBP</t>
  </si>
  <si>
    <t># Pasajeros</t>
  </si>
  <si>
    <t>AOV GBP</t>
  </si>
  <si>
    <t>Total 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</si>
</sst>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%"/>
    <numFmt numFmtId="165" formatCode="_-* #,##0.0_-;\-* #,##0.0_-;_-* &quot;-&quot;??_-;_-@_-"/>
    <numFmt numFmtId="166" formatCode="_-* #,##0_-;\-* #,##0_-;_-* &quot;-&quot;??_-;_-@_-"/>
    <numFmt numFmtId="167" formatCode="_-&quot;$&quot;\ * #,##0.0_-;\-&quot;$&quot;\ * #,##0.0_-;_-&quot;$&quot;\ * &quot;-&quot;??_-;_-@_-"/>
    <numFmt numFmtId="168" formatCode="_-&quot;$&quot;\ * #,##0_-;\-&quot;$&quot;\ * #,##0_-;_-&quot;$&quot;\ * &quot;-&quot;??_-;_-@_-"/>
    <numFmt numFmtId="169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0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3" applyNumberFormat="1" applyFont="1"/>
    <xf numFmtId="165" fontId="0" fillId="0" borderId="0" xfId="0" applyNumberFormat="1"/>
    <xf numFmtId="0" fontId="0" fillId="0" borderId="0" xfId="0" quotePrefix="1"/>
    <xf numFmtId="166" fontId="0" fillId="0" borderId="0" xfId="1" applyNumberFormat="1" applyFont="1"/>
    <xf numFmtId="168" fontId="0" fillId="0" borderId="0" xfId="0" applyNumberFormat="1"/>
    <xf numFmtId="167" fontId="0" fillId="0" borderId="0" xfId="2" applyNumberFormat="1" applyFont="1"/>
    <xf numFmtId="166" fontId="0" fillId="0" borderId="0" xfId="0" applyNumberFormat="1"/>
    <xf numFmtId="169" fontId="0" fillId="0" borderId="0" xfId="0" applyNumberFormat="1"/>
    <xf numFmtId="0" fontId="3" fillId="2" borderId="0" xfId="0" applyFont="1" applyFill="1" applyAlignment="1">
      <alignment horizontal="left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9">
    <dxf>
      <numFmt numFmtId="165" formatCode="_-* #,##0.0_-;\-* #,##0.0_-;_-* &quot;-&quot;??_-;_-@_-"/>
    </dxf>
    <dxf>
      <numFmt numFmtId="166" formatCode="_-* #,##0_-;\-* #,##0_-;_-* &quot;-&quot;??_-;_-@_-"/>
    </dxf>
    <dxf>
      <numFmt numFmtId="168" formatCode="_-&quot;$&quot;\ * #,##0_-;\-&quot;$&quot;\ * #,##0_-;_-&quot;$&quot;\ * &quot;-&quot;??_-;_-@_-"/>
    </dxf>
    <dxf>
      <numFmt numFmtId="165" formatCode="_-* #,##0.0_-;\-* #,##0.0_-;_-* &quot;-&quot;??_-;_-@_-"/>
    </dxf>
    <dxf>
      <numFmt numFmtId="0" formatCode="General"/>
    </dxf>
    <dxf>
      <numFmt numFmtId="167" formatCode="_-&quot;$&quot;\ * #,##0.0_-;\-&quot;$&quot;\ * #,##0.0_-;_-&quot;$&quot;\ * &quot;-&quot;??_-;_-@_-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[Solución Titanic.xlsx]Data!TablaDinámica3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en-US" sz="1200" b="0">
                <a:latin typeface="Montserrat" pitchFamily="2" charset="0"/>
              </a:rPr>
              <a:t>Pasajeros</a:t>
            </a:r>
            <a:r>
              <a:rPr lang="en-US" sz="1200" b="0" baseline="0">
                <a:latin typeface="Montserrat" pitchFamily="2" charset="0"/>
              </a:rPr>
              <a:t> por Puerto de Embarque</a:t>
            </a:r>
            <a:endParaRPr lang="en-US" sz="1200" b="0">
              <a:latin typeface="Montserrat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0E2841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>
              <a:outerShdw blurRad="50800" dist="50800" dir="5400000" algn="ctr" rotWithShape="0">
                <a:sysClr val="window" lastClr="FFFFFF"/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4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solidFill>
            <a:schemeClr val="bg1">
              <a:lumMod val="9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Data!$C$13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2B8-45BF-9A7A-9321C2F81033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2B8-45BF-9A7A-9321C2F81033}"/>
              </c:ext>
            </c:extLst>
          </c:dPt>
          <c:dPt>
            <c:idx val="2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2B8-45BF-9A7A-9321C2F81033}"/>
              </c:ext>
            </c:extLst>
          </c:dPt>
          <c:dLbls>
            <c:spPr>
              <a:solidFill>
                <a:srgbClr val="0E2841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>
                <a:outerShdw blurRad="50800" dist="50800" dir="5400000" algn="ctr" rotWithShape="0">
                  <a:sysClr val="window" lastClr="FFFFFF"/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Data!$B$14:$B$17</c:f>
              <c:strCache>
                <c:ptCount val="3"/>
                <c:pt idx="0">
                  <c:v>Southampton</c:v>
                </c:pt>
                <c:pt idx="1">
                  <c:v>Cherbourg</c:v>
                </c:pt>
                <c:pt idx="2">
                  <c:v>Queenstown</c:v>
                </c:pt>
              </c:strCache>
            </c:strRef>
          </c:cat>
          <c:val>
            <c:numRef>
              <c:f>Data!$C$14:$C$17</c:f>
              <c:numCache>
                <c:formatCode>General</c:formatCode>
                <c:ptCount val="3"/>
                <c:pt idx="0">
                  <c:v>270</c:v>
                </c:pt>
                <c:pt idx="1">
                  <c:v>102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8-45BF-9A7A-9321C2F81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[Solución Titanic.xlsx]Data!TablaDinámica6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2"/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en-US" sz="1200">
                <a:latin typeface="Montserrat" pitchFamily="2" charset="0"/>
              </a:rPr>
              <a:t>Pasajeros por Genero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2"/>
              </a:solidFill>
              <a:latin typeface="Montserrat" pitchFamily="2" charset="0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lumMod val="75000"/>
                </a:schemeClr>
              </a:gs>
              <a:gs pos="100000">
                <a:schemeClr val="tx2">
                  <a:lumMod val="50000"/>
                  <a:lumOff val="5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100" b="1" i="0" u="none" strike="noStrike" kern="1200" baseline="0">
                  <a:solidFill>
                    <a:schemeClr val="tx2"/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100000">
                <a:schemeClr val="accent2">
                  <a:lumMod val="20000"/>
                  <a:lumOff val="8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Data!$C$38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75000"/>
                  </a:schemeClr>
                </a:gs>
                <a:gs pos="100000">
                  <a:schemeClr val="tx2">
                    <a:lumMod val="50000"/>
                    <a:lumOff val="50000"/>
                  </a:schemeClr>
                </a:gs>
              </a:gsLst>
              <a:lin ang="13500000" scaled="1"/>
              <a:tileRect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20000"/>
                      <a:lumOff val="80000"/>
                    </a:schemeClr>
                  </a:gs>
                </a:gsLst>
                <a:lin ang="135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E3F-4D09-A0A7-BC18AAB56B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tx2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Data!$B$39:$B$41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Data!$C$39:$C$41</c:f>
              <c:numCache>
                <c:formatCode>General</c:formatCode>
                <c:ptCount val="2"/>
                <c:pt idx="0">
                  <c:v>266</c:v>
                </c:pt>
                <c:pt idx="1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F-4D09-A0A7-BC18AAB56B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1979149520"/>
        <c:axId val="596359423"/>
      </c:barChart>
      <c:catAx>
        <c:axId val="1979149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2"/>
                </a:solidFill>
                <a:latin typeface="Montserrat" pitchFamily="2" charset="0"/>
                <a:ea typeface="+mn-ea"/>
                <a:cs typeface="+mn-cs"/>
              </a:defRPr>
            </a:pPr>
            <a:endParaRPr lang="es-CO"/>
          </a:p>
        </c:txPr>
        <c:crossAx val="596359423"/>
        <c:crosses val="autoZero"/>
        <c:auto val="1"/>
        <c:lblAlgn val="ctr"/>
        <c:lblOffset val="100"/>
        <c:noMultiLvlLbl val="0"/>
      </c:catAx>
      <c:valAx>
        <c:axId val="59635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2"/>
                </a:solidFill>
                <a:latin typeface="Montserrat" pitchFamily="2" charset="0"/>
                <a:ea typeface="+mn-ea"/>
                <a:cs typeface="+mn-cs"/>
              </a:defRPr>
            </a:pPr>
            <a:endParaRPr lang="es-CO"/>
          </a:p>
        </c:txPr>
        <c:crossAx val="197914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[Solución Titanic.xlsx]Data!TablaDinámica7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2"/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es-CO" sz="1200">
                <a:latin typeface="Montserrat" pitchFamily="2" charset="0"/>
              </a:rPr>
              <a:t>Recaudo</a:t>
            </a:r>
            <a:r>
              <a:rPr lang="es-CO" sz="1200" baseline="0">
                <a:latin typeface="Montserrat" pitchFamily="2" charset="0"/>
              </a:rPr>
              <a:t> GBP Vs. Ticket Promedio GBP</a:t>
            </a:r>
            <a:endParaRPr lang="es-CO" sz="1200">
              <a:latin typeface="Montserrat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2"/>
              </a:solidFill>
              <a:latin typeface="Montserrat" pitchFamily="2" charset="0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0">
                <a:schemeClr val="accent4">
                  <a:lumMod val="89000"/>
                </a:schemeClr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97000">
                <a:schemeClr val="accent4">
                  <a:lumMod val="70000"/>
                </a:schemeClr>
              </a:gs>
            </a:gsLst>
            <a:path path="circle">
              <a:fillToRect l="50000" t="50000" r="50000" b="50000"/>
            </a:path>
          </a:gradFill>
          <a:ln w="317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2225" cap="rnd">
            <a:solidFill>
              <a:schemeClr val="accent1"/>
            </a:solidFill>
            <a:prstDash val="dash"/>
            <a:round/>
          </a:ln>
          <a:effectLst/>
        </c:spPr>
        <c:marker>
          <c:symbol val="triangle"/>
          <c:size val="4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gradFill flip="none" rotWithShape="1">
              <a:gsLst>
                <a:gs pos="0">
                  <a:schemeClr val="accent2">
                    <a:lumMod val="40000"/>
                    <a:lumOff val="60000"/>
                  </a:schemeClr>
                </a:gs>
                <a:gs pos="46000">
                  <a:schemeClr val="accent2">
                    <a:lumMod val="95000"/>
                    <a:lumOff val="5000"/>
                  </a:schemeClr>
                </a:gs>
                <a:gs pos="100000">
                  <a:schemeClr val="accent2">
                    <a:lumMod val="60000"/>
                  </a:schemeClr>
                </a:gs>
              </a:gsLst>
              <a:path path="circle">
                <a:fillToRect l="50000" t="130000" r="50000" b="-30000"/>
              </a:path>
              <a:tileRect/>
            </a:gra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800" b="1" i="0" u="none" strike="noStrike" kern="1200" baseline="0">
                  <a:solidFill>
                    <a:schemeClr val="bg1"/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Data!$C$46</c:f>
              <c:strCache>
                <c:ptCount val="1"/>
                <c:pt idx="0">
                  <c:v>Total GBP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89000"/>
                  </a:schemeClr>
                </a:gs>
                <a:gs pos="23000">
                  <a:schemeClr val="accent4">
                    <a:lumMod val="89000"/>
                  </a:schemeClr>
                </a:gs>
                <a:gs pos="69000">
                  <a:schemeClr val="accent4">
                    <a:lumMod val="75000"/>
                  </a:schemeClr>
                </a:gs>
                <a:gs pos="97000">
                  <a:schemeClr val="accent4">
                    <a:lumMod val="70000"/>
                  </a:schemeClr>
                </a:gs>
              </a:gsLst>
              <a:path path="circle">
                <a:fillToRect l="50000" t="50000" r="50000" b="50000"/>
              </a:path>
            </a:gradFill>
            <a:ln w="31750"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Data!$B$47:$B$50</c:f>
              <c:strCach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strCache>
            </c:strRef>
          </c:cat>
          <c:val>
            <c:numRef>
              <c:f>Data!$C$47:$C$50</c:f>
              <c:numCache>
                <c:formatCode>_-* #,##0_-;\-* #,##0_-;_-* "-"??_-;_-@_-</c:formatCode>
                <c:ptCount val="3"/>
                <c:pt idx="0">
                  <c:v>6562055.3541999981</c:v>
                </c:pt>
                <c:pt idx="1">
                  <c:v>1494236.9749</c:v>
                </c:pt>
                <c:pt idx="2">
                  <c:v>4979.6709999999994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C-483E-A4CC-1D98011326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051453359"/>
        <c:axId val="1051454319"/>
      </c:barChart>
      <c:lineChart>
        <c:grouping val="standard"/>
        <c:varyColors val="0"/>
        <c:ser>
          <c:idx val="1"/>
          <c:order val="1"/>
          <c:tx>
            <c:strRef>
              <c:f>Data!$D$46</c:f>
              <c:strCache>
                <c:ptCount val="1"/>
                <c:pt idx="0">
                  <c:v>AOV GBP</c:v>
                </c:pt>
              </c:strCache>
            </c:strRef>
          </c:tx>
          <c:spPr>
            <a:ln w="2222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triang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gradFill flip="none" rotWithShape="1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46000">
                    <a:schemeClr val="accent2">
                      <a:lumMod val="95000"/>
                      <a:lumOff val="5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Data!$B$47:$B$50</c:f>
              <c:strCach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strCache>
            </c:strRef>
          </c:cat>
          <c:val>
            <c:numRef>
              <c:f>Data!$D$47:$D$50</c:f>
              <c:numCache>
                <c:formatCode>_-* #,##0.0_-;\-* #,##0.0_-;_-* "-"??_-;_-@_-</c:formatCode>
                <c:ptCount val="3"/>
                <c:pt idx="0">
                  <c:v>30239.886424884782</c:v>
                </c:pt>
                <c:pt idx="1">
                  <c:v>16067.064246236559</c:v>
                </c:pt>
                <c:pt idx="2">
                  <c:v>46.538981308411209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9C-483E-A4CC-1D98011326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025472"/>
        <c:axId val="4024032"/>
      </c:lineChart>
      <c:catAx>
        <c:axId val="105145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2"/>
                </a:solidFill>
                <a:latin typeface="Montserrat" pitchFamily="2" charset="0"/>
                <a:ea typeface="+mn-ea"/>
                <a:cs typeface="+mn-cs"/>
              </a:defRPr>
            </a:pPr>
            <a:endParaRPr lang="es-CO"/>
          </a:p>
        </c:txPr>
        <c:crossAx val="1051454319"/>
        <c:crosses val="autoZero"/>
        <c:auto val="1"/>
        <c:lblAlgn val="ctr"/>
        <c:lblOffset val="100"/>
        <c:noMultiLvlLbl val="0"/>
      </c:catAx>
      <c:valAx>
        <c:axId val="105145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2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s-CO" sz="1000">
                    <a:latin typeface="Montserrat" pitchFamily="2" charset="0"/>
                  </a:rPr>
                  <a:t>GBP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2"/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2"/>
                </a:solidFill>
                <a:latin typeface="Montserrat" pitchFamily="2" charset="0"/>
                <a:ea typeface="+mn-ea"/>
                <a:cs typeface="+mn-cs"/>
              </a:defRPr>
            </a:pPr>
            <a:endParaRPr lang="es-CO"/>
          </a:p>
        </c:txPr>
        <c:crossAx val="1051453359"/>
        <c:crosses val="autoZero"/>
        <c:crossBetween val="between"/>
      </c:valAx>
      <c:valAx>
        <c:axId val="4024032"/>
        <c:scaling>
          <c:orientation val="minMax"/>
        </c:scaling>
        <c:delete val="0"/>
        <c:axPos val="r"/>
        <c:numFmt formatCode="_-* #,##0.0_-;\-* #,##0.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2"/>
                </a:solidFill>
                <a:latin typeface="Montserrat" pitchFamily="2" charset="0"/>
                <a:ea typeface="+mn-ea"/>
                <a:cs typeface="+mn-cs"/>
              </a:defRPr>
            </a:pPr>
            <a:endParaRPr lang="es-CO"/>
          </a:p>
        </c:txPr>
        <c:crossAx val="4025472"/>
        <c:crosses val="max"/>
        <c:crossBetween val="between"/>
      </c:valAx>
      <c:catAx>
        <c:axId val="402547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50" b="0" i="0" u="none" strike="noStrike" kern="1200" baseline="0">
                    <a:solidFill>
                      <a:schemeClr val="tx2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s-CO" sz="1050">
                    <a:latin typeface="Montserrat" pitchFamily="2" charset="0"/>
                  </a:rPr>
                  <a:t>Clase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50" b="0" i="0" u="none" strike="noStrike" kern="1200" baseline="0">
                  <a:solidFill>
                    <a:schemeClr val="tx2"/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crossAx val="40240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Montserrat" pitchFamily="2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Pasajeros por Grupo de Edad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>
              <a:latin typeface="Montserrat" pitchFamily="2" charset="0"/>
              <a:ea typeface="Montserrat" pitchFamily="2" charset="0"/>
              <a:cs typeface="Montserrat" pitchFamily="2" charset="0"/>
            </a:defRPr>
          </a:pPr>
          <a:r>
            <a: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Montserrat" pitchFamily="2" charset="0"/>
            </a:rPr>
            <a:t>Pasajeros por Grupo de Edad</a:t>
          </a:r>
        </a:p>
      </cx:txPr>
    </cx:title>
    <cx:plotArea>
      <cx:plotAreaRegion>
        <cx:series layoutId="clusteredColumn" uniqueId="{058320ED-E97E-444D-A1DD-96F3EE265C65}" formatIdx="0">
          <cx:tx>
            <cx:txData>
              <cx:f>_xlchart.v1.0</cx:f>
              <cx:v>Etiquetas de fila</cx:v>
            </cx:txData>
          </cx:tx>
          <cx:spPr>
            <a:gradFill flip="none" rotWithShape="1">
              <a:gsLst>
                <a:gs pos="0">
                  <a:schemeClr val="accent4">
                    <a:lumMod val="89000"/>
                  </a:schemeClr>
                </a:gs>
                <a:gs pos="23000">
                  <a:schemeClr val="accent4">
                    <a:lumMod val="89000"/>
                  </a:schemeClr>
                </a:gs>
                <a:gs pos="69000">
                  <a:schemeClr val="accent4">
                    <a:lumMod val="75000"/>
                  </a:schemeClr>
                </a:gs>
                <a:gs pos="97000">
                  <a:schemeClr val="accent4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</cx:spPr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 b="1">
                    <a:latin typeface="Montserrat" pitchFamily="2" charset="0"/>
                    <a:ea typeface="Montserrat" pitchFamily="2" charset="0"/>
                    <a:cs typeface="Montserrat" pitchFamily="2" charset="0"/>
                  </a:defRPr>
                </a:pPr>
                <a:endParaRPr lang="es-ES" sz="10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Montserrat" pitchFamily="2" charset="0"/>
                </a:endParaRPr>
              </a:p>
            </cx:txPr>
            <cx:visibility seriesName="0" categoryName="0" value="1"/>
          </cx:dataLabels>
          <cx:dataId val="0"/>
          <cx:layoutPr>
            <cx:binning intervalClosed="r"/>
          </cx:layoutPr>
        </cx:series>
        <cx:series layoutId="clusteredColumn" hidden="1" uniqueId="{15CB041C-EE22-434A-AAA8-B06C16C8D717}" formatIdx="1">
          <cx:tx>
            <cx:txData>
              <cx:f>_xlchart.v1.2</cx:f>
              <cx:v>Cuenta de ID Ticket</cx:v>
            </cx:txData>
          </cx:tx>
          <cx:dataLabels pos="outEnd">
            <cx:visibility seriesName="0" categoryName="0" value="1"/>
          </cx:dataLabels>
          <cx:dataId val="1"/>
          <cx:layoutPr>
            <cx:binning intervalClosed="r"/>
          </cx:layoutPr>
        </cx:series>
      </cx:plotAreaRegion>
      <cx:axis id="0">
        <cx:catScaling gapWidth="0.109999999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latin typeface="Montserrat" pitchFamily="2" charset="0"/>
                <a:ea typeface="Montserrat" pitchFamily="2" charset="0"/>
                <a:cs typeface="Montserrat" pitchFamily="2" charset="0"/>
              </a:defRPr>
            </a:pPr>
            <a:endParaRPr lang="es-ES" sz="1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Montserrat" pitchFamily="2" charset="0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latin typeface="Montserrat" pitchFamily="2" charset="0"/>
                <a:ea typeface="Montserrat" pitchFamily="2" charset="0"/>
                <a:cs typeface="Montserrat" pitchFamily="2" charset="0"/>
              </a:defRPr>
            </a:pPr>
            <a:endParaRPr lang="es-ES" sz="1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Montserrat" pitchFamily="2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14</xdr:row>
      <xdr:rowOff>152399</xdr:rowOff>
    </xdr:from>
    <xdr:to>
      <xdr:col>7</xdr:col>
      <xdr:colOff>228600</xdr:colOff>
      <xdr:row>36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3A5192-C6F4-485F-A9BE-2E82F6564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47625</xdr:colOff>
      <xdr:row>8</xdr:row>
      <xdr:rowOff>95250</xdr:rowOff>
    </xdr:from>
    <xdr:to>
      <xdr:col>3</xdr:col>
      <xdr:colOff>609600</xdr:colOff>
      <xdr:row>13</xdr:row>
      <xdr:rowOff>171450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720E1D5F-9D93-8FEB-CCB7-30FE154354D5}"/>
            </a:ext>
          </a:extLst>
        </xdr:cNvPr>
        <xdr:cNvGrpSpPr/>
      </xdr:nvGrpSpPr>
      <xdr:grpSpPr>
        <a:xfrm>
          <a:off x="807720" y="1623060"/>
          <a:ext cx="2087880" cy="1028700"/>
          <a:chOff x="876300" y="552450"/>
          <a:chExt cx="2085975" cy="1028700"/>
        </a:xfrm>
      </xdr:grpSpPr>
      <xdr:sp macro="" textlink="Data!B8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1C139920-0733-9823-258C-7C22CA316D76}"/>
              </a:ext>
            </a:extLst>
          </xdr:cNvPr>
          <xdr:cNvSpPr/>
        </xdr:nvSpPr>
        <xdr:spPr>
          <a:xfrm>
            <a:off x="876300" y="552450"/>
            <a:ext cx="2085975" cy="1028700"/>
          </a:xfrm>
          <a:prstGeom prst="roundRect">
            <a:avLst/>
          </a:prstGeom>
          <a:noFill/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>
            <a:bevelT prst="angle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1"/>
          </a:fontRef>
        </xdr:style>
        <xdr:txBody>
          <a:bodyPr vertOverflow="clip" horzOverflow="clip" rtlCol="0" anchor="ctr"/>
          <a:lstStyle/>
          <a:p>
            <a:pPr algn="ctr"/>
            <a:fld id="{6452083E-22F5-46EA-BF07-1C406A97EA8A}" type="TxLink">
              <a:rPr lang="en-US" sz="3200" b="1" i="0" u="none" strike="noStrike">
                <a:solidFill>
                  <a:srgbClr val="000000"/>
                </a:solidFill>
                <a:latin typeface="Montserrat" pitchFamily="2" charset="0"/>
              </a:rPr>
              <a:pPr algn="ctr"/>
              <a:t>418</a:t>
            </a:fld>
            <a:endParaRPr lang="es-CO" sz="3200" b="1">
              <a:latin typeface="Montserrat" pitchFamily="2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41BA19EB-67C6-D6AB-00A2-BADD826D7D27}"/>
              </a:ext>
            </a:extLst>
          </xdr:cNvPr>
          <xdr:cNvSpPr txBox="1"/>
        </xdr:nvSpPr>
        <xdr:spPr>
          <a:xfrm>
            <a:off x="998715" y="1247775"/>
            <a:ext cx="1841145" cy="2798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es-CO" sz="1200">
                <a:latin typeface="Montserrat" pitchFamily="2" charset="0"/>
              </a:rPr>
              <a:t>Número</a:t>
            </a:r>
            <a:r>
              <a:rPr lang="es-CO" sz="1200" baseline="0">
                <a:latin typeface="Montserrat" pitchFamily="2" charset="0"/>
              </a:rPr>
              <a:t> de Pasajeros</a:t>
            </a:r>
            <a:endParaRPr lang="es-CO" sz="1200">
              <a:latin typeface="Montserrat" pitchFamily="2" charset="0"/>
            </a:endParaRPr>
          </a:p>
        </xdr:txBody>
      </xdr:sp>
    </xdr:grpSp>
    <xdr:clientData/>
  </xdr:twoCellAnchor>
  <xdr:twoCellAnchor>
    <xdr:from>
      <xdr:col>4</xdr:col>
      <xdr:colOff>38100</xdr:colOff>
      <xdr:row>8</xdr:row>
      <xdr:rowOff>95250</xdr:rowOff>
    </xdr:from>
    <xdr:to>
      <xdr:col>6</xdr:col>
      <xdr:colOff>600075</xdr:colOff>
      <xdr:row>13</xdr:row>
      <xdr:rowOff>171450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6C06BC94-9B19-4AC5-991A-BBB86306D891}"/>
            </a:ext>
          </a:extLst>
        </xdr:cNvPr>
        <xdr:cNvGrpSpPr/>
      </xdr:nvGrpSpPr>
      <xdr:grpSpPr>
        <a:xfrm>
          <a:off x="3086100" y="1623060"/>
          <a:ext cx="2087880" cy="1028700"/>
          <a:chOff x="876300" y="552450"/>
          <a:chExt cx="2085975" cy="1028700"/>
        </a:xfrm>
      </xdr:grpSpPr>
      <xdr:sp macro="" textlink="Data!B33">
        <xdr:nvSpPr>
          <xdr:cNvPr id="8" name="Rectángulo: esquinas redondeadas 7">
            <a:extLst>
              <a:ext uri="{FF2B5EF4-FFF2-40B4-BE49-F238E27FC236}">
                <a16:creationId xmlns:a16="http://schemas.microsoft.com/office/drawing/2014/main" id="{57521352-46C3-A8CE-335B-05CFDBB6531F}"/>
              </a:ext>
            </a:extLst>
          </xdr:cNvPr>
          <xdr:cNvSpPr/>
        </xdr:nvSpPr>
        <xdr:spPr>
          <a:xfrm>
            <a:off x="876300" y="552450"/>
            <a:ext cx="2085975" cy="1028700"/>
          </a:xfrm>
          <a:prstGeom prst="roundRect">
            <a:avLst/>
          </a:prstGeom>
          <a:noFill/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>
            <a:bevelT prst="angle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1"/>
          </a:fontRef>
        </xdr:style>
        <xdr:txBody>
          <a:bodyPr vertOverflow="clip" horzOverflow="clip" rtlCol="0" anchor="ctr"/>
          <a:lstStyle/>
          <a:p>
            <a:pPr algn="ctr"/>
            <a:fld id="{C788CA46-EA07-4C7B-A16F-846F722E8965}" type="TxLink">
              <a:rPr lang="en-US" sz="3200" b="1" i="0" u="none" strike="noStrike">
                <a:solidFill>
                  <a:srgbClr val="000000"/>
                </a:solidFill>
                <a:latin typeface="Montserrat" pitchFamily="2" charset="0"/>
              </a:rPr>
              <a:pPr algn="ctr"/>
              <a:t> 31,2 </a:t>
            </a:fld>
            <a:endParaRPr lang="es-CO" sz="3200" b="1">
              <a:latin typeface="Montserrat" pitchFamily="2" charset="0"/>
            </a:endParaRP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7443C23-2B10-46DD-B5F9-966F36697423}"/>
              </a:ext>
            </a:extLst>
          </xdr:cNvPr>
          <xdr:cNvSpPr txBox="1"/>
        </xdr:nvSpPr>
        <xdr:spPr>
          <a:xfrm>
            <a:off x="1222015" y="1247775"/>
            <a:ext cx="1394549" cy="2798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es-CO" sz="1200">
                <a:latin typeface="Montserrat" pitchFamily="2" charset="0"/>
              </a:rPr>
              <a:t>Edad Promedio</a:t>
            </a:r>
          </a:p>
        </xdr:txBody>
      </xdr:sp>
    </xdr:grpSp>
    <xdr:clientData/>
  </xdr:twoCellAnchor>
  <xdr:twoCellAnchor>
    <xdr:from>
      <xdr:col>7</xdr:col>
      <xdr:colOff>47625</xdr:colOff>
      <xdr:row>8</xdr:row>
      <xdr:rowOff>95250</xdr:rowOff>
    </xdr:from>
    <xdr:to>
      <xdr:col>9</xdr:col>
      <xdr:colOff>609600</xdr:colOff>
      <xdr:row>13</xdr:row>
      <xdr:rowOff>171450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E22F7EF1-3C4D-4FEB-9494-7B73970A4A83}"/>
            </a:ext>
          </a:extLst>
        </xdr:cNvPr>
        <xdr:cNvGrpSpPr/>
      </xdr:nvGrpSpPr>
      <xdr:grpSpPr>
        <a:xfrm>
          <a:off x="5379720" y="1623060"/>
          <a:ext cx="2087880" cy="1028700"/>
          <a:chOff x="876300" y="552450"/>
          <a:chExt cx="2085975" cy="1028700"/>
        </a:xfrm>
      </xdr:grpSpPr>
      <xdr:sp macro="" textlink="Data!H25">
        <xdr:nvSpPr>
          <xdr:cNvPr id="11" name="Rectángulo: esquinas redondeadas 10">
            <a:extLst>
              <a:ext uri="{FF2B5EF4-FFF2-40B4-BE49-F238E27FC236}">
                <a16:creationId xmlns:a16="http://schemas.microsoft.com/office/drawing/2014/main" id="{09E03009-9B30-17A0-6B38-B1D2DA8271DA}"/>
              </a:ext>
            </a:extLst>
          </xdr:cNvPr>
          <xdr:cNvSpPr/>
        </xdr:nvSpPr>
        <xdr:spPr>
          <a:xfrm>
            <a:off x="876300" y="552450"/>
            <a:ext cx="2085975" cy="1028700"/>
          </a:xfrm>
          <a:prstGeom prst="roundRect">
            <a:avLst/>
          </a:prstGeom>
          <a:noFill/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>
            <a:bevelT prst="angle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1"/>
          </a:fontRef>
        </xdr:style>
        <xdr:txBody>
          <a:bodyPr vertOverflow="clip" horzOverflow="clip" rtlCol="0" anchor="ctr"/>
          <a:lstStyle/>
          <a:p>
            <a:pPr algn="ctr"/>
            <a:fld id="{EC484C1C-84BC-4573-8652-2EA501495151}" type="TxLink">
              <a:rPr lang="en-US" sz="3200" b="1" i="0" u="none" strike="noStrike">
                <a:solidFill>
                  <a:schemeClr val="accent1"/>
                </a:solidFill>
                <a:latin typeface="Montserrat" pitchFamily="2" charset="0"/>
              </a:rPr>
              <a:pPr algn="ctr"/>
              <a:t>36,4%</a:t>
            </a:fld>
            <a:endParaRPr lang="es-CO" sz="3200" b="1">
              <a:solidFill>
                <a:schemeClr val="accent1"/>
              </a:solidFill>
              <a:latin typeface="Montserrat" pitchFamily="2" charset="0"/>
            </a:endParaRPr>
          </a:p>
        </xdr:txBody>
      </xdr: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81568930-6132-5E87-7BBF-3B27ED7907EE}"/>
              </a:ext>
            </a:extLst>
          </xdr:cNvPr>
          <xdr:cNvSpPr txBox="1"/>
        </xdr:nvSpPr>
        <xdr:spPr>
          <a:xfrm>
            <a:off x="951847" y="1247775"/>
            <a:ext cx="1934889" cy="2798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es-CO" sz="1200">
                <a:latin typeface="Montserrat" pitchFamily="2" charset="0"/>
              </a:rPr>
              <a:t>Tasa</a:t>
            </a:r>
            <a:r>
              <a:rPr lang="es-CO" sz="1200" baseline="0">
                <a:latin typeface="Montserrat" pitchFamily="2" charset="0"/>
              </a:rPr>
              <a:t> de Sobrevivientes</a:t>
            </a:r>
            <a:endParaRPr lang="es-CO" sz="1200">
              <a:latin typeface="Montserrat" pitchFamily="2" charset="0"/>
            </a:endParaRPr>
          </a:p>
        </xdr:txBody>
      </xdr:sp>
    </xdr:grpSp>
    <xdr:clientData/>
  </xdr:twoCellAnchor>
  <xdr:twoCellAnchor>
    <xdr:from>
      <xdr:col>7</xdr:col>
      <xdr:colOff>295274</xdr:colOff>
      <xdr:row>14</xdr:row>
      <xdr:rowOff>161924</xdr:rowOff>
    </xdr:from>
    <xdr:to>
      <xdr:col>14</xdr:col>
      <xdr:colOff>657225</xdr:colOff>
      <xdr:row>36</xdr:row>
      <xdr:rowOff>76199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9BF96872-FD94-491D-9783-156F96B24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58511</xdr:colOff>
      <xdr:row>37</xdr:row>
      <xdr:rowOff>48985</xdr:rowOff>
    </xdr:from>
    <xdr:to>
      <xdr:col>10</xdr:col>
      <xdr:colOff>371475</xdr:colOff>
      <xdr:row>58</xdr:row>
      <xdr:rowOff>142875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57732C8-3170-46EA-842A-44A422073E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495299</xdr:colOff>
      <xdr:row>37</xdr:row>
      <xdr:rowOff>76200</xdr:rowOff>
    </xdr:from>
    <xdr:to>
      <xdr:col>18</xdr:col>
      <xdr:colOff>219074</xdr:colOff>
      <xdr:row>58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D17FB232-257B-46A4-882E-85FB12B48A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15299" y="7124700"/>
              <a:ext cx="5819775" cy="4057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190500</xdr:colOff>
      <xdr:row>3</xdr:row>
      <xdr:rowOff>161925</xdr:rowOff>
    </xdr:from>
    <xdr:to>
      <xdr:col>2</xdr:col>
      <xdr:colOff>733425</xdr:colOff>
      <xdr:row>7</xdr:row>
      <xdr:rowOff>47925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Sexo">
              <a:extLst>
                <a:ext uri="{FF2B5EF4-FFF2-40B4-BE49-F238E27FC236}">
                  <a16:creationId xmlns:a16="http://schemas.microsoft.com/office/drawing/2014/main" id="{378F7017-DBE2-49DC-AB7B-646191FEBF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" y="733425"/>
              <a:ext cx="2066925" cy="6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76200</xdr:colOff>
      <xdr:row>3</xdr:row>
      <xdr:rowOff>161926</xdr:rowOff>
    </xdr:from>
    <xdr:to>
      <xdr:col>7</xdr:col>
      <xdr:colOff>247651</xdr:colOff>
      <xdr:row>7</xdr:row>
      <xdr:rowOff>47926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Puerto de embarque">
              <a:extLst>
                <a:ext uri="{FF2B5EF4-FFF2-40B4-BE49-F238E27FC236}">
                  <a16:creationId xmlns:a16="http://schemas.microsoft.com/office/drawing/2014/main" id="{2F4F609B-0973-49E3-B2BB-0B4A6EC0AF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erto de embarqu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62200" y="733426"/>
              <a:ext cx="3219451" cy="6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419100</xdr:colOff>
      <xdr:row>3</xdr:row>
      <xdr:rowOff>76200</xdr:rowOff>
    </xdr:from>
    <xdr:to>
      <xdr:col>20</xdr:col>
      <xdr:colOff>38100</xdr:colOff>
      <xdr:row>21</xdr:row>
      <xdr:rowOff>76200</xdr:rowOff>
    </xdr:to>
    <xdr:pic>
      <xdr:nvPicPr>
        <xdr:cNvPr id="17" name="Imagen 16" descr="Titanic PNG Imágenes Y Dibujos Con Fondo Transparente Gratis - Pngtree">
          <a:extLst>
            <a:ext uri="{FF2B5EF4-FFF2-40B4-BE49-F238E27FC236}">
              <a16:creationId xmlns:a16="http://schemas.microsoft.com/office/drawing/2014/main" id="{15EE8AE5-978C-9FB5-043A-49099FB69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49100" y="647700"/>
          <a:ext cx="3429000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797.513292476855" createdVersion="8" refreshedVersion="8" minRefreshableVersion="3" recordCount="418" xr:uid="{A2C247AC-B0DB-46B3-B5E3-0FAFCF29DED9}">
  <cacheSource type="worksheet">
    <worksheetSource name="DB"/>
  </cacheSource>
  <cacheFields count="14">
    <cacheField name="IDPasajero" numFmtId="0">
      <sharedItems containsSemiMixedTypes="0" containsString="0" containsNumber="1" containsInteger="1" minValue="892" maxValue="1309"/>
    </cacheField>
    <cacheField name="Sobrevivió (0=No, 1=Si)" numFmtId="0">
      <sharedItems containsSemiMixedTypes="0" containsString="0" containsNumber="1" containsInteger="1" minValue="0" maxValue="1" count="2">
        <n v="0"/>
        <n v="1"/>
      </sharedItems>
    </cacheField>
    <cacheField name="Clase" numFmtId="0">
      <sharedItems containsSemiMixedTypes="0" containsString="0" containsNumber="1" containsInteger="1" minValue="1" maxValue="3" count="3">
        <n v="3"/>
        <n v="2"/>
        <n v="1"/>
      </sharedItems>
    </cacheField>
    <cacheField name="Nombre" numFmtId="0">
      <sharedItems/>
    </cacheField>
    <cacheField name="Sexo" numFmtId="0">
      <sharedItems count="2">
        <s v="Hombre"/>
        <s v="Mujer"/>
      </sharedItems>
    </cacheField>
    <cacheField name="Edad (Años)" numFmtId="0">
      <sharedItems containsSemiMixedTypes="0" containsString="0" containsNumber="1" minValue="0.17" maxValue="76" count="79">
        <n v="34.5"/>
        <n v="47"/>
        <n v="62"/>
        <n v="27"/>
        <n v="22"/>
        <n v="14"/>
        <n v="30"/>
        <n v="26"/>
        <n v="18"/>
        <n v="21"/>
        <n v="41"/>
        <n v="46"/>
        <n v="23"/>
        <n v="63"/>
        <n v="24"/>
        <n v="35"/>
        <n v="45"/>
        <n v="55"/>
        <n v="9"/>
        <n v="48"/>
        <n v="50"/>
        <n v="22.5"/>
        <n v="29"/>
        <n v="33"/>
        <n v="36"/>
        <n v="18.5"/>
        <n v="25"/>
        <n v="40"/>
        <n v="39"/>
        <n v="60"/>
        <n v="20"/>
        <n v="28"/>
        <n v="10"/>
        <n v="37"/>
        <n v="17"/>
        <n v="32"/>
        <n v="13"/>
        <n v="31"/>
        <n v="28.5"/>
        <n v="32.5"/>
        <n v="49"/>
        <n v="6"/>
        <n v="67"/>
        <n v="2"/>
        <n v="76"/>
        <n v="43"/>
        <n v="16"/>
        <n v="1"/>
        <n v="12"/>
        <n v="42"/>
        <n v="53"/>
        <n v="26.5"/>
        <n v="61"/>
        <n v="60.5"/>
        <n v="7"/>
        <n v="15"/>
        <n v="54"/>
        <n v="64"/>
        <n v="34"/>
        <n v="11.5"/>
        <n v="8"/>
        <n v="0.33"/>
        <n v="38"/>
        <n v="57"/>
        <n v="44"/>
        <n v="40.5"/>
        <n v="0.92"/>
        <n v="19"/>
        <n v="36.5"/>
        <n v="0.75"/>
        <n v="0.83"/>
        <n v="58"/>
        <n v="0.17"/>
        <n v="59"/>
        <n v="14.5"/>
        <n v="5"/>
        <n v="51"/>
        <n v="3"/>
        <n v="38.5"/>
      </sharedItems>
    </cacheField>
    <cacheField name="Número de hermanos/cónyuges a bordo del Titanic" numFmtId="0">
      <sharedItems containsSemiMixedTypes="0" containsString="0" containsNumber="1" containsInteger="1" minValue="0" maxValue="8"/>
    </cacheField>
    <cacheField name="Número de padres/hijos a bordo del Titanic" numFmtId="0">
      <sharedItems containsSemiMixedTypes="0" containsString="0" containsNumber="1" containsInteger="1" minValue="0" maxValue="9"/>
    </cacheField>
    <cacheField name="ID Ticket" numFmtId="0">
      <sharedItems/>
    </cacheField>
    <cacheField name="Valor Ticket GBP (libras esterlinas)" numFmtId="167">
      <sharedItems containsString="0" containsBlank="1" containsNumber="1" minValue="0" maxValue="415792"/>
    </cacheField>
    <cacheField name="Puerto de embarque" numFmtId="0">
      <sharedItems count="3">
        <s v="Queenstown"/>
        <s v="Southampton"/>
        <s v="Cherbourg"/>
      </sharedItems>
    </cacheField>
    <cacheField name="# Pasajeros" numFmtId="0">
      <sharedItems containsSemiMixedTypes="0" containsString="0" containsNumber="1" containsInteger="1" minValue="1" maxValue="1"/>
    </cacheField>
    <cacheField name="Campo1" numFmtId="0" formula=" 0" databaseField="0"/>
    <cacheField name="Ticket Promedio" numFmtId="0" formula="'Valor Ticket GBP (libras esterlinas)'/'# Pasajeros'" databaseField="0"/>
  </cacheFields>
  <extLst>
    <ext xmlns:x14="http://schemas.microsoft.com/office/spreadsheetml/2009/9/main" uri="{725AE2AE-9491-48be-B2B4-4EB974FC3084}">
      <x14:pivotCacheDefinition pivotCacheId="18679077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8">
  <r>
    <n v="892"/>
    <x v="0"/>
    <x v="0"/>
    <s v="Kelly, Mr. James"/>
    <x v="0"/>
    <x v="0"/>
    <n v="0"/>
    <n v="0"/>
    <s v="330911"/>
    <n v="7.8292000000000002"/>
    <x v="0"/>
    <n v="1"/>
  </r>
  <r>
    <n v="893"/>
    <x v="1"/>
    <x v="0"/>
    <s v="Wilkes, Mrs. James (Ellen Needs)"/>
    <x v="1"/>
    <x v="1"/>
    <n v="1"/>
    <n v="0"/>
    <s v="363272"/>
    <n v="7"/>
    <x v="1"/>
    <n v="1"/>
  </r>
  <r>
    <n v="894"/>
    <x v="0"/>
    <x v="1"/>
    <s v="Myles, Mr. Thomas Francis"/>
    <x v="0"/>
    <x v="2"/>
    <n v="0"/>
    <n v="0"/>
    <s v="240276"/>
    <n v="9.6875"/>
    <x v="0"/>
    <n v="1"/>
  </r>
  <r>
    <n v="895"/>
    <x v="0"/>
    <x v="0"/>
    <s v="Wirz, Mr. Albert"/>
    <x v="0"/>
    <x v="3"/>
    <n v="0"/>
    <n v="0"/>
    <s v="315154"/>
    <n v="8.6624999999999996"/>
    <x v="1"/>
    <n v="1"/>
  </r>
  <r>
    <n v="896"/>
    <x v="1"/>
    <x v="0"/>
    <s v="Hirvonen, Mrs. Alexander (Helga E Lindqvist)"/>
    <x v="1"/>
    <x v="4"/>
    <n v="1"/>
    <n v="1"/>
    <s v="3101298"/>
    <n v="12.2875"/>
    <x v="1"/>
    <n v="1"/>
  </r>
  <r>
    <n v="897"/>
    <x v="0"/>
    <x v="0"/>
    <s v="Svensson, Mr. Johan Cervin"/>
    <x v="0"/>
    <x v="5"/>
    <n v="0"/>
    <n v="0"/>
    <s v="7538"/>
    <n v="9.2249999999999996"/>
    <x v="1"/>
    <n v="1"/>
  </r>
  <r>
    <n v="898"/>
    <x v="1"/>
    <x v="0"/>
    <s v="Connolly, Miss. Kate"/>
    <x v="1"/>
    <x v="6"/>
    <n v="0"/>
    <n v="0"/>
    <s v="330972"/>
    <n v="7.6292"/>
    <x v="0"/>
    <n v="1"/>
  </r>
  <r>
    <n v="899"/>
    <x v="0"/>
    <x v="1"/>
    <s v="Caldwell, Mr. Albert Francis"/>
    <x v="0"/>
    <x v="7"/>
    <n v="1"/>
    <n v="1"/>
    <s v="248738"/>
    <n v="29"/>
    <x v="1"/>
    <n v="1"/>
  </r>
  <r>
    <n v="900"/>
    <x v="1"/>
    <x v="0"/>
    <s v="Abrahim, Mrs. Joseph (Sophie Halaut Easu)"/>
    <x v="1"/>
    <x v="8"/>
    <n v="0"/>
    <n v="0"/>
    <s v="2657"/>
    <n v="7.2291999999999996"/>
    <x v="2"/>
    <n v="1"/>
  </r>
  <r>
    <n v="901"/>
    <x v="0"/>
    <x v="0"/>
    <s v="Davies, Mr. John Samuel"/>
    <x v="0"/>
    <x v="9"/>
    <n v="2"/>
    <n v="0"/>
    <s v="A/4 48871"/>
    <n v="24.15"/>
    <x v="1"/>
    <n v="1"/>
  </r>
  <r>
    <n v="902"/>
    <x v="0"/>
    <x v="0"/>
    <s v="Ilieff, Mr. Ylio"/>
    <x v="0"/>
    <x v="10"/>
    <n v="0"/>
    <n v="0"/>
    <s v="349220"/>
    <n v="7.8958000000000004"/>
    <x v="1"/>
    <n v="1"/>
  </r>
  <r>
    <n v="903"/>
    <x v="0"/>
    <x v="2"/>
    <s v="Jones, Mr. Charles Cresson"/>
    <x v="0"/>
    <x v="11"/>
    <n v="0"/>
    <n v="0"/>
    <s v="694"/>
    <n v="26"/>
    <x v="1"/>
    <n v="1"/>
  </r>
  <r>
    <n v="904"/>
    <x v="1"/>
    <x v="2"/>
    <s v="Snyder, Mrs. John Pillsbury (Nelle Stevenson)"/>
    <x v="1"/>
    <x v="12"/>
    <n v="1"/>
    <n v="0"/>
    <s v="21228"/>
    <n v="82.2667"/>
    <x v="1"/>
    <n v="1"/>
  </r>
  <r>
    <n v="905"/>
    <x v="0"/>
    <x v="1"/>
    <s v="Howard, Mr. Benjamin"/>
    <x v="0"/>
    <x v="13"/>
    <n v="1"/>
    <n v="0"/>
    <s v="24065"/>
    <n v="26"/>
    <x v="1"/>
    <n v="1"/>
  </r>
  <r>
    <n v="906"/>
    <x v="1"/>
    <x v="2"/>
    <s v="Chaffee, Mrs. Herbert Fuller (Carrie Constance Toogood)"/>
    <x v="1"/>
    <x v="1"/>
    <n v="1"/>
    <n v="0"/>
    <s v="W.E.P. 5734"/>
    <n v="61.174999999999997"/>
    <x v="1"/>
    <n v="1"/>
  </r>
  <r>
    <n v="907"/>
    <x v="1"/>
    <x v="1"/>
    <s v="del Carlo, Mrs. Sebastiano (Argenia Genovesi)"/>
    <x v="1"/>
    <x v="14"/>
    <n v="1"/>
    <n v="0"/>
    <s v="SC/PARIS 2167"/>
    <n v="27.720800000000001"/>
    <x v="2"/>
    <n v="1"/>
  </r>
  <r>
    <n v="908"/>
    <x v="0"/>
    <x v="1"/>
    <s v="Keane, Mr. Daniel"/>
    <x v="0"/>
    <x v="15"/>
    <n v="0"/>
    <n v="0"/>
    <s v="233734"/>
    <n v="12.35"/>
    <x v="0"/>
    <n v="1"/>
  </r>
  <r>
    <n v="909"/>
    <x v="0"/>
    <x v="0"/>
    <s v="Assaf, Mr. Gerios"/>
    <x v="0"/>
    <x v="9"/>
    <n v="0"/>
    <n v="0"/>
    <s v="2692"/>
    <n v="7.2249999999999996"/>
    <x v="2"/>
    <n v="1"/>
  </r>
  <r>
    <n v="910"/>
    <x v="1"/>
    <x v="0"/>
    <s v="Ilmakangas, Miss. Ida Livija"/>
    <x v="1"/>
    <x v="3"/>
    <n v="1"/>
    <n v="0"/>
    <s v="STON/O2. 3101270"/>
    <n v="7.9249999999999998"/>
    <x v="1"/>
    <n v="1"/>
  </r>
  <r>
    <n v="911"/>
    <x v="1"/>
    <x v="0"/>
    <s v="Assaf Khalil, Mrs. Mariana (Miriam&quot;)&quot;"/>
    <x v="1"/>
    <x v="16"/>
    <n v="0"/>
    <n v="0"/>
    <s v="2696"/>
    <n v="7.2249999999999996"/>
    <x v="2"/>
    <n v="1"/>
  </r>
  <r>
    <n v="912"/>
    <x v="0"/>
    <x v="2"/>
    <s v="Rothschild, Mr. Martin"/>
    <x v="0"/>
    <x v="17"/>
    <n v="1"/>
    <n v="0"/>
    <s v="PC 17603"/>
    <n v="59.4"/>
    <x v="2"/>
    <n v="1"/>
  </r>
  <r>
    <n v="913"/>
    <x v="0"/>
    <x v="0"/>
    <s v="Olsen, Master. Artur Karl"/>
    <x v="0"/>
    <x v="18"/>
    <n v="0"/>
    <n v="1"/>
    <s v="C 17368"/>
    <n v="3.1707999999999998"/>
    <x v="1"/>
    <n v="1"/>
  </r>
  <r>
    <n v="914"/>
    <x v="1"/>
    <x v="2"/>
    <s v="Flegenheim, Mrs. Alfred (Antoinette)"/>
    <x v="1"/>
    <x v="7"/>
    <n v="0"/>
    <n v="0"/>
    <s v="PC 17598"/>
    <n v="31.683299999999999"/>
    <x v="1"/>
    <n v="1"/>
  </r>
  <r>
    <n v="915"/>
    <x v="0"/>
    <x v="2"/>
    <s v="Williams, Mr. Richard Norris II"/>
    <x v="0"/>
    <x v="9"/>
    <n v="0"/>
    <n v="1"/>
    <s v="PC 17597"/>
    <n v="61.379199999999997"/>
    <x v="2"/>
    <n v="1"/>
  </r>
  <r>
    <n v="916"/>
    <x v="1"/>
    <x v="2"/>
    <s v="Ryerson, Mrs. Arthur Larned (Emily Maria Borie)"/>
    <x v="1"/>
    <x v="19"/>
    <n v="1"/>
    <n v="3"/>
    <s v="PC 17608"/>
    <n v="37"/>
    <x v="2"/>
    <n v="1"/>
  </r>
  <r>
    <n v="917"/>
    <x v="0"/>
    <x v="0"/>
    <s v="Robins, Mr. Alexander A"/>
    <x v="0"/>
    <x v="20"/>
    <n v="1"/>
    <n v="0"/>
    <s v="A/5. 3337"/>
    <n v="14.5"/>
    <x v="1"/>
    <n v="1"/>
  </r>
  <r>
    <n v="918"/>
    <x v="1"/>
    <x v="2"/>
    <s v="Ostby, Miss. Helene Ragnhild"/>
    <x v="1"/>
    <x v="4"/>
    <n v="0"/>
    <n v="1"/>
    <s v="113509"/>
    <n v="61.979199999999999"/>
    <x v="2"/>
    <n v="1"/>
  </r>
  <r>
    <n v="919"/>
    <x v="0"/>
    <x v="0"/>
    <s v="Daher, Mr. Shedid"/>
    <x v="0"/>
    <x v="21"/>
    <n v="0"/>
    <n v="0"/>
    <s v="2698"/>
    <n v="7.2249999999999996"/>
    <x v="2"/>
    <n v="1"/>
  </r>
  <r>
    <n v="920"/>
    <x v="0"/>
    <x v="2"/>
    <s v="Brady, Mr. John Bertram"/>
    <x v="0"/>
    <x v="10"/>
    <n v="0"/>
    <n v="0"/>
    <s v="113054"/>
    <n v="30.5"/>
    <x v="1"/>
    <n v="1"/>
  </r>
  <r>
    <n v="921"/>
    <x v="0"/>
    <x v="0"/>
    <s v="Samaan, Mr. Elias"/>
    <x v="0"/>
    <x v="22"/>
    <n v="2"/>
    <n v="0"/>
    <s v="2662"/>
    <n v="21.679200000000002"/>
    <x v="2"/>
    <n v="1"/>
  </r>
  <r>
    <n v="922"/>
    <x v="0"/>
    <x v="1"/>
    <s v="Louch, Mr. Charles Alexander"/>
    <x v="0"/>
    <x v="20"/>
    <n v="1"/>
    <n v="0"/>
    <s v="SC/AH 3085"/>
    <n v="26"/>
    <x v="1"/>
    <n v="1"/>
  </r>
  <r>
    <n v="923"/>
    <x v="0"/>
    <x v="1"/>
    <s v="Jefferys, Mr. Clifford Thomas"/>
    <x v="0"/>
    <x v="14"/>
    <n v="2"/>
    <n v="0"/>
    <s v="C.A. 31029"/>
    <n v="31.5"/>
    <x v="1"/>
    <n v="1"/>
  </r>
  <r>
    <n v="924"/>
    <x v="1"/>
    <x v="0"/>
    <s v="Dean, Mrs. Bertram (Eva Georgetta Light)"/>
    <x v="1"/>
    <x v="23"/>
    <n v="1"/>
    <n v="2"/>
    <s v="C.A. 2315"/>
    <n v="20.574999999999999"/>
    <x v="1"/>
    <n v="1"/>
  </r>
  <r>
    <n v="925"/>
    <x v="1"/>
    <x v="0"/>
    <s v="Johnston, Mrs. Andrew G (Elizabeth Lily&quot; Watson)&quot;"/>
    <x v="1"/>
    <x v="24"/>
    <n v="1"/>
    <n v="2"/>
    <s v="W./C. 6607"/>
    <n v="23.45"/>
    <x v="1"/>
    <n v="1"/>
  </r>
  <r>
    <n v="926"/>
    <x v="0"/>
    <x v="2"/>
    <s v="Mock, Mr. Philipp Edmund"/>
    <x v="0"/>
    <x v="6"/>
    <n v="1"/>
    <n v="0"/>
    <s v="13236"/>
    <n v="57.75"/>
    <x v="2"/>
    <n v="1"/>
  </r>
  <r>
    <n v="927"/>
    <x v="0"/>
    <x v="0"/>
    <s v="Katavelas, Mr. Vassilios (Catavelas Vassilios&quot;)&quot;"/>
    <x v="0"/>
    <x v="25"/>
    <n v="0"/>
    <n v="0"/>
    <s v="2682"/>
    <n v="7.2291999999999996"/>
    <x v="2"/>
    <n v="1"/>
  </r>
  <r>
    <n v="928"/>
    <x v="1"/>
    <x v="0"/>
    <s v="Roth, Miss. Sarah A"/>
    <x v="1"/>
    <x v="22"/>
    <n v="0"/>
    <n v="0"/>
    <s v="342712"/>
    <n v="8.0500000000000007"/>
    <x v="1"/>
    <n v="1"/>
  </r>
  <r>
    <n v="929"/>
    <x v="1"/>
    <x v="0"/>
    <s v="Cacic, Miss. Manda"/>
    <x v="1"/>
    <x v="9"/>
    <n v="0"/>
    <n v="0"/>
    <s v="315087"/>
    <n v="8.6624999999999996"/>
    <x v="1"/>
    <n v="1"/>
  </r>
  <r>
    <n v="930"/>
    <x v="0"/>
    <x v="0"/>
    <s v="Sap, Mr. Julius"/>
    <x v="0"/>
    <x v="26"/>
    <n v="0"/>
    <n v="0"/>
    <s v="345768"/>
    <n v="9.5"/>
    <x v="1"/>
    <n v="1"/>
  </r>
  <r>
    <n v="931"/>
    <x v="0"/>
    <x v="0"/>
    <s v="Hee, Mr. Ling"/>
    <x v="0"/>
    <x v="27"/>
    <n v="0"/>
    <n v="0"/>
    <s v="1601"/>
    <n v="56.495800000000003"/>
    <x v="1"/>
    <n v="1"/>
  </r>
  <r>
    <n v="932"/>
    <x v="0"/>
    <x v="0"/>
    <s v="Karun, Mr. Franz"/>
    <x v="0"/>
    <x v="28"/>
    <n v="0"/>
    <n v="1"/>
    <s v="349256"/>
    <n v="13.416700000000001"/>
    <x v="2"/>
    <n v="1"/>
  </r>
  <r>
    <n v="933"/>
    <x v="0"/>
    <x v="2"/>
    <s v="Franklin, Mr. Thomas Parham"/>
    <x v="0"/>
    <x v="26"/>
    <n v="0"/>
    <n v="0"/>
    <s v="113778"/>
    <n v="26.55"/>
    <x v="1"/>
    <n v="1"/>
  </r>
  <r>
    <n v="934"/>
    <x v="0"/>
    <x v="0"/>
    <s v="Goldsmith, Mr. Nathan"/>
    <x v="0"/>
    <x v="10"/>
    <n v="0"/>
    <n v="0"/>
    <s v="SOTON/O.Q. 3101263"/>
    <n v="7.85"/>
    <x v="1"/>
    <n v="1"/>
  </r>
  <r>
    <n v="935"/>
    <x v="1"/>
    <x v="1"/>
    <s v="Corbett, Mrs. Walter H (Irene Colvin)"/>
    <x v="1"/>
    <x v="6"/>
    <n v="0"/>
    <n v="0"/>
    <s v="237249"/>
    <n v="13"/>
    <x v="1"/>
    <n v="1"/>
  </r>
  <r>
    <n v="936"/>
    <x v="1"/>
    <x v="2"/>
    <s v="Kimball, Mrs. Edwin Nelson Jr (Gertrude Parsons)"/>
    <x v="1"/>
    <x v="16"/>
    <n v="1"/>
    <n v="0"/>
    <s v="11753"/>
    <n v="52.554200000000002"/>
    <x v="1"/>
    <n v="1"/>
  </r>
  <r>
    <n v="937"/>
    <x v="0"/>
    <x v="0"/>
    <s v="Peltomaki, Mr. Nikolai Johannes"/>
    <x v="0"/>
    <x v="26"/>
    <n v="0"/>
    <n v="0"/>
    <s v="STON/O 2. 3101291"/>
    <n v="7.9249999999999998"/>
    <x v="1"/>
    <n v="1"/>
  </r>
  <r>
    <n v="938"/>
    <x v="0"/>
    <x v="2"/>
    <s v="Chevre, Mr. Paul Romaine"/>
    <x v="0"/>
    <x v="16"/>
    <n v="0"/>
    <n v="0"/>
    <s v="PC 17594"/>
    <n v="29.7"/>
    <x v="2"/>
    <n v="1"/>
  </r>
  <r>
    <n v="939"/>
    <x v="0"/>
    <x v="0"/>
    <s v="Shaughnessy, Mr. Patrick"/>
    <x v="0"/>
    <x v="22"/>
    <n v="0"/>
    <n v="0"/>
    <s v="370374"/>
    <n v="7.75"/>
    <x v="0"/>
    <n v="1"/>
  </r>
  <r>
    <n v="940"/>
    <x v="1"/>
    <x v="2"/>
    <s v="Bucknell, Mrs. William Robert (Emma Eliza Ward)"/>
    <x v="1"/>
    <x v="29"/>
    <n v="0"/>
    <n v="0"/>
    <s v="11813"/>
    <n v="76.291700000000006"/>
    <x v="2"/>
    <n v="1"/>
  </r>
  <r>
    <n v="941"/>
    <x v="1"/>
    <x v="0"/>
    <s v="Coutts, Mrs. William (Winnie Minnie&quot; Treanor)&quot;"/>
    <x v="1"/>
    <x v="24"/>
    <n v="0"/>
    <n v="2"/>
    <s v="C.A. 37671"/>
    <n v="15.9"/>
    <x v="1"/>
    <n v="1"/>
  </r>
  <r>
    <n v="942"/>
    <x v="0"/>
    <x v="2"/>
    <s v="Smith, Mr. Lucien Philip"/>
    <x v="0"/>
    <x v="14"/>
    <n v="1"/>
    <n v="0"/>
    <s v="13695"/>
    <n v="60"/>
    <x v="1"/>
    <n v="1"/>
  </r>
  <r>
    <n v="943"/>
    <x v="0"/>
    <x v="1"/>
    <s v="Pulbaum, Mr. Franz"/>
    <x v="0"/>
    <x v="3"/>
    <n v="0"/>
    <n v="0"/>
    <s v="SC/PARIS 2168"/>
    <n v="15.033300000000001"/>
    <x v="2"/>
    <n v="1"/>
  </r>
  <r>
    <n v="944"/>
    <x v="1"/>
    <x v="1"/>
    <s v="Hocking, Miss. Ellen Nellie&quot;&quot;"/>
    <x v="1"/>
    <x v="30"/>
    <n v="2"/>
    <n v="1"/>
    <s v="29105"/>
    <n v="23"/>
    <x v="1"/>
    <n v="1"/>
  </r>
  <r>
    <n v="945"/>
    <x v="1"/>
    <x v="2"/>
    <s v="Fortune, Miss. Ethel Flora"/>
    <x v="1"/>
    <x v="31"/>
    <n v="3"/>
    <n v="2"/>
    <s v="19950"/>
    <n v="22"/>
    <x v="1"/>
    <n v="1"/>
  </r>
  <r>
    <n v="946"/>
    <x v="0"/>
    <x v="1"/>
    <s v="Mangiavacchi, Mr. Serafino Emilio"/>
    <x v="0"/>
    <x v="31"/>
    <n v="0"/>
    <n v="0"/>
    <s v="SC/A.3 2861"/>
    <n v="15.5792"/>
    <x v="2"/>
    <n v="1"/>
  </r>
  <r>
    <n v="947"/>
    <x v="0"/>
    <x v="0"/>
    <s v="Rice, Master. Albert"/>
    <x v="0"/>
    <x v="32"/>
    <n v="4"/>
    <n v="1"/>
    <s v="382652"/>
    <n v="29.125"/>
    <x v="0"/>
    <n v="1"/>
  </r>
  <r>
    <n v="948"/>
    <x v="0"/>
    <x v="0"/>
    <s v="Cor, Mr. Bartol"/>
    <x v="0"/>
    <x v="15"/>
    <n v="0"/>
    <n v="0"/>
    <s v="349230"/>
    <n v="7.8958000000000004"/>
    <x v="1"/>
    <n v="1"/>
  </r>
  <r>
    <n v="949"/>
    <x v="0"/>
    <x v="0"/>
    <s v="Abelseth, Mr. Olaus Jorgensen"/>
    <x v="0"/>
    <x v="26"/>
    <n v="0"/>
    <n v="0"/>
    <s v="348122"/>
    <n v="7.65"/>
    <x v="1"/>
    <n v="1"/>
  </r>
  <r>
    <n v="950"/>
    <x v="0"/>
    <x v="0"/>
    <s v="Davison, Mr. Thomas Henry"/>
    <x v="0"/>
    <x v="33"/>
    <n v="1"/>
    <n v="0"/>
    <s v="386525"/>
    <n v="16.100000000000001"/>
    <x v="1"/>
    <n v="1"/>
  </r>
  <r>
    <n v="951"/>
    <x v="1"/>
    <x v="2"/>
    <s v="Chaudanson, Miss. Victorine"/>
    <x v="1"/>
    <x v="24"/>
    <n v="0"/>
    <n v="0"/>
    <s v="PC 17608"/>
    <n v="43"/>
    <x v="2"/>
    <n v="1"/>
  </r>
  <r>
    <n v="952"/>
    <x v="0"/>
    <x v="0"/>
    <s v="Dika, Mr. Mirko"/>
    <x v="0"/>
    <x v="34"/>
    <n v="0"/>
    <n v="0"/>
    <s v="349232"/>
    <n v="7.8958000000000004"/>
    <x v="1"/>
    <n v="1"/>
  </r>
  <r>
    <n v="953"/>
    <x v="0"/>
    <x v="1"/>
    <s v="McCrae, Mr. Arthur Gordon"/>
    <x v="0"/>
    <x v="35"/>
    <n v="0"/>
    <n v="0"/>
    <s v="237216"/>
    <n v="13.5"/>
    <x v="1"/>
    <n v="1"/>
  </r>
  <r>
    <n v="954"/>
    <x v="0"/>
    <x v="0"/>
    <s v="Bjorklund, Mr. Ernst Herbert"/>
    <x v="0"/>
    <x v="8"/>
    <n v="0"/>
    <n v="0"/>
    <s v="347090"/>
    <n v="7.75"/>
    <x v="1"/>
    <n v="1"/>
  </r>
  <r>
    <n v="955"/>
    <x v="1"/>
    <x v="0"/>
    <s v="Bradley, Miss. Bridget Delia"/>
    <x v="1"/>
    <x v="4"/>
    <n v="0"/>
    <n v="0"/>
    <s v="334914"/>
    <n v="7.7249999999999996"/>
    <x v="0"/>
    <n v="1"/>
  </r>
  <r>
    <n v="956"/>
    <x v="0"/>
    <x v="2"/>
    <s v="Ryerson, Master. John Borie"/>
    <x v="0"/>
    <x v="36"/>
    <n v="2"/>
    <n v="2"/>
    <s v="PC 17608"/>
    <n v="49"/>
    <x v="2"/>
    <n v="1"/>
  </r>
  <r>
    <n v="957"/>
    <x v="1"/>
    <x v="1"/>
    <s v="Corey, Mrs. Percy C (Mary Phyllis Elizabeth Miller)"/>
    <x v="1"/>
    <x v="24"/>
    <n v="0"/>
    <n v="0"/>
    <s v="F.C.C. 13534"/>
    <n v="21"/>
    <x v="1"/>
    <n v="1"/>
  </r>
  <r>
    <n v="958"/>
    <x v="1"/>
    <x v="0"/>
    <s v="Burns, Miss. Mary Delia"/>
    <x v="1"/>
    <x v="8"/>
    <n v="0"/>
    <n v="0"/>
    <s v="330963"/>
    <n v="7.8792"/>
    <x v="0"/>
    <n v="1"/>
  </r>
  <r>
    <n v="959"/>
    <x v="0"/>
    <x v="2"/>
    <s v="Moore, Mr. Clarence Bloomfield"/>
    <x v="0"/>
    <x v="1"/>
    <n v="0"/>
    <n v="0"/>
    <s v="113796"/>
    <n v="42.4"/>
    <x v="1"/>
    <n v="1"/>
  </r>
  <r>
    <n v="960"/>
    <x v="0"/>
    <x v="2"/>
    <s v="Tucker, Mr. Gilbert Milligan Jr"/>
    <x v="0"/>
    <x v="37"/>
    <n v="0"/>
    <n v="0"/>
    <s v="2543"/>
    <n v="28.537500000000001"/>
    <x v="2"/>
    <n v="1"/>
  </r>
  <r>
    <n v="961"/>
    <x v="1"/>
    <x v="2"/>
    <s v="Fortune, Mrs. Mark (Mary McDougald)"/>
    <x v="1"/>
    <x v="29"/>
    <n v="1"/>
    <n v="4"/>
    <s v="19950"/>
    <n v="55"/>
    <x v="1"/>
    <n v="1"/>
  </r>
  <r>
    <n v="962"/>
    <x v="1"/>
    <x v="0"/>
    <s v="Mulvihill, Miss. Bertha E"/>
    <x v="1"/>
    <x v="14"/>
    <n v="0"/>
    <n v="0"/>
    <s v="382653"/>
    <n v="7.75"/>
    <x v="0"/>
    <n v="1"/>
  </r>
  <r>
    <n v="963"/>
    <x v="0"/>
    <x v="0"/>
    <s v="Minkoff, Mr. Lazar"/>
    <x v="0"/>
    <x v="9"/>
    <n v="0"/>
    <n v="0"/>
    <s v="349211"/>
    <n v="7.8958000000000004"/>
    <x v="1"/>
    <n v="1"/>
  </r>
  <r>
    <n v="964"/>
    <x v="1"/>
    <x v="0"/>
    <s v="Nieminen, Miss. Manta Josefina"/>
    <x v="1"/>
    <x v="22"/>
    <n v="0"/>
    <n v="0"/>
    <s v="3101297"/>
    <n v="7.9249999999999998"/>
    <x v="1"/>
    <n v="1"/>
  </r>
  <r>
    <n v="965"/>
    <x v="0"/>
    <x v="2"/>
    <s v="Ovies y Rodriguez, Mr. Servando"/>
    <x v="0"/>
    <x v="38"/>
    <n v="0"/>
    <n v="0"/>
    <s v="PC 17562"/>
    <n v="27.720800000000001"/>
    <x v="2"/>
    <n v="1"/>
  </r>
  <r>
    <n v="966"/>
    <x v="1"/>
    <x v="2"/>
    <s v="Geiger, Miss. Amalie"/>
    <x v="1"/>
    <x v="15"/>
    <n v="0"/>
    <n v="0"/>
    <s v="113503"/>
    <n v="38"/>
    <x v="2"/>
    <n v="1"/>
  </r>
  <r>
    <n v="967"/>
    <x v="0"/>
    <x v="2"/>
    <s v="Keeping, Mr. Edwin"/>
    <x v="0"/>
    <x v="39"/>
    <n v="0"/>
    <n v="0"/>
    <s v="113503"/>
    <n v="41"/>
    <x v="2"/>
    <n v="1"/>
  </r>
  <r>
    <n v="968"/>
    <x v="0"/>
    <x v="0"/>
    <s v="Miles, Mr. Frank"/>
    <x v="0"/>
    <x v="40"/>
    <n v="0"/>
    <n v="0"/>
    <s v="359306"/>
    <n v="8.0500000000000007"/>
    <x v="1"/>
    <n v="1"/>
  </r>
  <r>
    <n v="969"/>
    <x v="1"/>
    <x v="2"/>
    <s v="Cornell, Mrs. Robert Clifford (Malvina Helen Lamson)"/>
    <x v="1"/>
    <x v="17"/>
    <n v="2"/>
    <n v="0"/>
    <s v="11770"/>
    <n v="25.7"/>
    <x v="1"/>
    <n v="1"/>
  </r>
  <r>
    <n v="970"/>
    <x v="0"/>
    <x v="1"/>
    <s v="Aldworth, Mr. Charles Augustus"/>
    <x v="0"/>
    <x v="6"/>
    <n v="0"/>
    <n v="0"/>
    <s v="248744"/>
    <n v="13"/>
    <x v="1"/>
    <n v="1"/>
  </r>
  <r>
    <n v="971"/>
    <x v="1"/>
    <x v="0"/>
    <s v="Doyle, Miss. Elizabeth"/>
    <x v="1"/>
    <x v="14"/>
    <n v="0"/>
    <n v="0"/>
    <s v="368702"/>
    <n v="7.75"/>
    <x v="0"/>
    <n v="1"/>
  </r>
  <r>
    <n v="972"/>
    <x v="0"/>
    <x v="0"/>
    <s v="Boulos, Master. Akar"/>
    <x v="0"/>
    <x v="41"/>
    <n v="1"/>
    <n v="1"/>
    <s v="2678"/>
    <n v="15.245799999999999"/>
    <x v="2"/>
    <n v="1"/>
  </r>
  <r>
    <n v="973"/>
    <x v="0"/>
    <x v="2"/>
    <s v="Straus, Mr. Isidor"/>
    <x v="0"/>
    <x v="42"/>
    <n v="1"/>
    <n v="0"/>
    <s v="PC 17483"/>
    <n v="21"/>
    <x v="1"/>
    <n v="1"/>
  </r>
  <r>
    <n v="974"/>
    <x v="0"/>
    <x v="2"/>
    <s v="Case, Mr. Howard Brown"/>
    <x v="0"/>
    <x v="40"/>
    <n v="0"/>
    <n v="0"/>
    <s v="19924"/>
    <n v="26"/>
    <x v="1"/>
    <n v="1"/>
  </r>
  <r>
    <n v="975"/>
    <x v="0"/>
    <x v="0"/>
    <s v="Demetri, Mr. Marinko"/>
    <x v="0"/>
    <x v="30"/>
    <n v="0"/>
    <n v="0"/>
    <s v="349238"/>
    <n v="7.8958000000000004"/>
    <x v="1"/>
    <n v="1"/>
  </r>
  <r>
    <n v="976"/>
    <x v="0"/>
    <x v="1"/>
    <s v="Lamb, Mr. John Joseph"/>
    <x v="0"/>
    <x v="16"/>
    <n v="0"/>
    <n v="0"/>
    <s v="240261"/>
    <n v="10.708299999999999"/>
    <x v="0"/>
    <n v="1"/>
  </r>
  <r>
    <n v="977"/>
    <x v="0"/>
    <x v="0"/>
    <s v="Khalil, Mr. Betros"/>
    <x v="0"/>
    <x v="30"/>
    <n v="1"/>
    <n v="0"/>
    <s v="2660"/>
    <n v="14.4542"/>
    <x v="2"/>
    <n v="1"/>
  </r>
  <r>
    <n v="978"/>
    <x v="1"/>
    <x v="0"/>
    <s v="Barry, Miss. Julia"/>
    <x v="1"/>
    <x v="3"/>
    <n v="0"/>
    <n v="0"/>
    <s v="330844"/>
    <n v="7.8792"/>
    <x v="0"/>
    <n v="1"/>
  </r>
  <r>
    <n v="979"/>
    <x v="1"/>
    <x v="0"/>
    <s v="Badman, Miss. Emily Louisa"/>
    <x v="1"/>
    <x v="8"/>
    <n v="0"/>
    <n v="0"/>
    <s v="A/4 31416"/>
    <n v="8.0500000000000007"/>
    <x v="1"/>
    <n v="1"/>
  </r>
  <r>
    <n v="980"/>
    <x v="1"/>
    <x v="0"/>
    <s v="O'Donoghue, Ms. Bridget"/>
    <x v="1"/>
    <x v="35"/>
    <n v="0"/>
    <n v="0"/>
    <s v="364856"/>
    <n v="7.75"/>
    <x v="0"/>
    <n v="1"/>
  </r>
  <r>
    <n v="981"/>
    <x v="0"/>
    <x v="1"/>
    <s v="Wells, Master. Ralph Lester"/>
    <x v="0"/>
    <x v="43"/>
    <n v="1"/>
    <n v="1"/>
    <s v="29103"/>
    <n v="23"/>
    <x v="1"/>
    <n v="1"/>
  </r>
  <r>
    <n v="982"/>
    <x v="1"/>
    <x v="0"/>
    <s v="Dyker, Mrs. Adolf Fredrik (Anna Elisabeth Judith Andersson)"/>
    <x v="1"/>
    <x v="4"/>
    <n v="1"/>
    <n v="0"/>
    <s v="347072"/>
    <n v="13.9"/>
    <x v="1"/>
    <n v="1"/>
  </r>
  <r>
    <n v="983"/>
    <x v="0"/>
    <x v="0"/>
    <s v="Pedersen, Mr. Olaf"/>
    <x v="0"/>
    <x v="9"/>
    <n v="0"/>
    <n v="0"/>
    <s v="345498"/>
    <n v="7.7750000000000004"/>
    <x v="1"/>
    <n v="1"/>
  </r>
  <r>
    <n v="984"/>
    <x v="1"/>
    <x v="2"/>
    <s v="Davidson, Mrs. Thornton (Orian Hays)"/>
    <x v="1"/>
    <x v="3"/>
    <n v="1"/>
    <n v="2"/>
    <s v="F.C. 12750"/>
    <n v="52"/>
    <x v="1"/>
    <n v="1"/>
  </r>
  <r>
    <n v="985"/>
    <x v="0"/>
    <x v="0"/>
    <s v="Guest, Mr. Robert"/>
    <x v="0"/>
    <x v="37"/>
    <n v="0"/>
    <n v="0"/>
    <s v="376563"/>
    <n v="8.0500000000000007"/>
    <x v="1"/>
    <n v="1"/>
  </r>
  <r>
    <n v="986"/>
    <x v="0"/>
    <x v="2"/>
    <s v="Birnbaum, Mr. Jakob"/>
    <x v="0"/>
    <x v="26"/>
    <n v="0"/>
    <n v="0"/>
    <s v="13905"/>
    <n v="26"/>
    <x v="2"/>
    <n v="1"/>
  </r>
  <r>
    <n v="987"/>
    <x v="0"/>
    <x v="0"/>
    <s v="Tenglin, Mr. Gunnar Isidor"/>
    <x v="0"/>
    <x v="26"/>
    <n v="0"/>
    <n v="0"/>
    <s v="350033"/>
    <n v="7.7957999999999998"/>
    <x v="1"/>
    <n v="1"/>
  </r>
  <r>
    <n v="988"/>
    <x v="1"/>
    <x v="2"/>
    <s v="Cavendish, Mrs. Tyrell William (Julia Florence Siegel)"/>
    <x v="1"/>
    <x v="44"/>
    <n v="1"/>
    <n v="0"/>
    <s v="19877"/>
    <n v="78.849999999999994"/>
    <x v="1"/>
    <n v="1"/>
  </r>
  <r>
    <n v="989"/>
    <x v="0"/>
    <x v="0"/>
    <s v="Makinen, Mr. Kalle Edvard"/>
    <x v="0"/>
    <x v="22"/>
    <n v="0"/>
    <n v="0"/>
    <s v="STON/O 2. 3101268"/>
    <n v="7.9249999999999998"/>
    <x v="1"/>
    <n v="1"/>
  </r>
  <r>
    <n v="990"/>
    <x v="1"/>
    <x v="0"/>
    <s v="Braf, Miss. Elin Ester Maria"/>
    <x v="1"/>
    <x v="30"/>
    <n v="0"/>
    <n v="0"/>
    <s v="347471"/>
    <n v="7.8541999999999996"/>
    <x v="1"/>
    <n v="1"/>
  </r>
  <r>
    <n v="991"/>
    <x v="0"/>
    <x v="0"/>
    <s v="Nancarrow, Mr. William Henry"/>
    <x v="0"/>
    <x v="23"/>
    <n v="0"/>
    <n v="0"/>
    <s v="A./5. 3338"/>
    <n v="8.0500000000000007"/>
    <x v="1"/>
    <n v="1"/>
  </r>
  <r>
    <n v="992"/>
    <x v="1"/>
    <x v="2"/>
    <s v="Stengel, Mrs. Charles Emil Henry (Annie May Morris)"/>
    <x v="1"/>
    <x v="45"/>
    <n v="1"/>
    <n v="0"/>
    <s v="11778"/>
    <n v="55.441699999999997"/>
    <x v="2"/>
    <n v="1"/>
  </r>
  <r>
    <n v="993"/>
    <x v="0"/>
    <x v="1"/>
    <s v="Weisz, Mr. Leopold"/>
    <x v="0"/>
    <x v="3"/>
    <n v="1"/>
    <n v="0"/>
    <s v="228414"/>
    <n v="26"/>
    <x v="1"/>
    <n v="1"/>
  </r>
  <r>
    <n v="994"/>
    <x v="0"/>
    <x v="0"/>
    <s v="Foley, Mr. William"/>
    <x v="0"/>
    <x v="6"/>
    <n v="0"/>
    <n v="0"/>
    <s v="365235"/>
    <n v="7.75"/>
    <x v="0"/>
    <n v="1"/>
  </r>
  <r>
    <n v="995"/>
    <x v="0"/>
    <x v="0"/>
    <s v="Johansson Palmquist, Mr. Oskar Leander"/>
    <x v="0"/>
    <x v="7"/>
    <n v="0"/>
    <n v="0"/>
    <s v="347070"/>
    <n v="7.7750000000000004"/>
    <x v="1"/>
    <n v="1"/>
  </r>
  <r>
    <n v="996"/>
    <x v="1"/>
    <x v="0"/>
    <s v="Thomas, Mrs. Alexander (Thamine Thelma&quot;)&quot;"/>
    <x v="1"/>
    <x v="46"/>
    <n v="1"/>
    <n v="1"/>
    <s v="2625"/>
    <n v="8.5167000000000002"/>
    <x v="2"/>
    <n v="1"/>
  </r>
  <r>
    <n v="997"/>
    <x v="0"/>
    <x v="0"/>
    <s v="Holthen, Mr. Johan Martin"/>
    <x v="0"/>
    <x v="31"/>
    <n v="0"/>
    <n v="0"/>
    <s v="C 4001"/>
    <n v="22.524999999999999"/>
    <x v="1"/>
    <n v="1"/>
  </r>
  <r>
    <n v="998"/>
    <x v="0"/>
    <x v="0"/>
    <s v="Buckley, Mr. Daniel"/>
    <x v="0"/>
    <x v="9"/>
    <n v="0"/>
    <n v="0"/>
    <s v="330920"/>
    <n v="7.8208000000000002"/>
    <x v="0"/>
    <n v="1"/>
  </r>
  <r>
    <n v="999"/>
    <x v="0"/>
    <x v="0"/>
    <s v="Ryan, Mr. Edward"/>
    <x v="0"/>
    <x v="3"/>
    <n v="0"/>
    <n v="0"/>
    <s v="383162"/>
    <n v="7.75"/>
    <x v="0"/>
    <n v="1"/>
  </r>
  <r>
    <n v="1000"/>
    <x v="0"/>
    <x v="0"/>
    <s v="Willer, Mr. Aaron (Abi Weller&quot;)&quot;"/>
    <x v="0"/>
    <x v="12"/>
    <n v="0"/>
    <n v="0"/>
    <s v="3410"/>
    <n v="8.7125000000000004"/>
    <x v="1"/>
    <n v="1"/>
  </r>
  <r>
    <n v="1001"/>
    <x v="0"/>
    <x v="1"/>
    <s v="Swane, Mr. George"/>
    <x v="0"/>
    <x v="25"/>
    <n v="0"/>
    <n v="0"/>
    <s v="248734"/>
    <n v="13"/>
    <x v="1"/>
    <n v="1"/>
  </r>
  <r>
    <n v="1002"/>
    <x v="0"/>
    <x v="1"/>
    <s v="Stanton, Mr. Samuel Ward"/>
    <x v="0"/>
    <x v="10"/>
    <n v="0"/>
    <n v="0"/>
    <s v="237734"/>
    <n v="15.0458"/>
    <x v="2"/>
    <n v="1"/>
  </r>
  <r>
    <n v="1003"/>
    <x v="1"/>
    <x v="0"/>
    <s v="Shine, Miss. Ellen Natalia"/>
    <x v="1"/>
    <x v="7"/>
    <n v="0"/>
    <n v="0"/>
    <s v="330968"/>
    <n v="7.7792000000000003"/>
    <x v="0"/>
    <n v="1"/>
  </r>
  <r>
    <n v="1004"/>
    <x v="1"/>
    <x v="2"/>
    <s v="Evans, Miss. Edith Corse"/>
    <x v="1"/>
    <x v="24"/>
    <n v="0"/>
    <n v="0"/>
    <s v="PC 17531"/>
    <n v="31.679200000000002"/>
    <x v="2"/>
    <n v="1"/>
  </r>
  <r>
    <n v="1005"/>
    <x v="1"/>
    <x v="0"/>
    <s v="Buckley, Miss. Katherine"/>
    <x v="1"/>
    <x v="25"/>
    <n v="0"/>
    <n v="0"/>
    <s v="329944"/>
    <n v="7.2832999999999997"/>
    <x v="0"/>
    <n v="1"/>
  </r>
  <r>
    <n v="1006"/>
    <x v="1"/>
    <x v="2"/>
    <s v="Straus, Mrs. Isidor (Rosalie Ida Blun)"/>
    <x v="1"/>
    <x v="13"/>
    <n v="1"/>
    <n v="0"/>
    <s v="PC 17483"/>
    <n v="32"/>
    <x v="1"/>
    <n v="1"/>
  </r>
  <r>
    <n v="1007"/>
    <x v="0"/>
    <x v="0"/>
    <s v="Chronopoulos, Mr. Demetrios"/>
    <x v="0"/>
    <x v="8"/>
    <n v="1"/>
    <n v="0"/>
    <s v="2680"/>
    <n v="14.4542"/>
    <x v="2"/>
    <n v="1"/>
  </r>
  <r>
    <n v="1008"/>
    <x v="0"/>
    <x v="0"/>
    <s v="Thomas, Mr. John"/>
    <x v="0"/>
    <x v="4"/>
    <n v="0"/>
    <n v="0"/>
    <s v="2681"/>
    <n v="6.4375"/>
    <x v="2"/>
    <n v="1"/>
  </r>
  <r>
    <n v="1009"/>
    <x v="1"/>
    <x v="0"/>
    <s v="Sandstrom, Miss. Beatrice Irene"/>
    <x v="1"/>
    <x v="47"/>
    <n v="1"/>
    <n v="1"/>
    <s v="PP 9549"/>
    <n v="16.7"/>
    <x v="1"/>
    <n v="1"/>
  </r>
  <r>
    <n v="1010"/>
    <x v="0"/>
    <x v="2"/>
    <s v="Beattie, Mr. Thomson"/>
    <x v="0"/>
    <x v="24"/>
    <n v="0"/>
    <n v="0"/>
    <s v="13050"/>
    <n v="75.241699999999994"/>
    <x v="2"/>
    <n v="1"/>
  </r>
  <r>
    <n v="1011"/>
    <x v="1"/>
    <x v="1"/>
    <s v="Chapman, Mrs. John Henry (Sara Elizabeth Lawry)"/>
    <x v="1"/>
    <x v="22"/>
    <n v="1"/>
    <n v="0"/>
    <s v="SC/AH 29037"/>
    <n v="26"/>
    <x v="1"/>
    <n v="1"/>
  </r>
  <r>
    <n v="1012"/>
    <x v="1"/>
    <x v="1"/>
    <s v="Watt, Miss. Bertha J"/>
    <x v="1"/>
    <x v="48"/>
    <n v="0"/>
    <n v="0"/>
    <s v="C.A. 33595"/>
    <n v="15.75"/>
    <x v="1"/>
    <n v="1"/>
  </r>
  <r>
    <n v="1013"/>
    <x v="0"/>
    <x v="0"/>
    <s v="Kiernan, Mr. John"/>
    <x v="0"/>
    <x v="37"/>
    <n v="1"/>
    <n v="0"/>
    <s v="367227"/>
    <n v="7.75"/>
    <x v="0"/>
    <n v="1"/>
  </r>
  <r>
    <n v="1014"/>
    <x v="1"/>
    <x v="2"/>
    <s v="Schabert, Mrs. Paul (Emma Mock)"/>
    <x v="1"/>
    <x v="15"/>
    <n v="1"/>
    <n v="0"/>
    <s v="13236"/>
    <n v="57.75"/>
    <x v="2"/>
    <n v="1"/>
  </r>
  <r>
    <n v="1015"/>
    <x v="0"/>
    <x v="0"/>
    <s v="Carver, Mr. Alfred John"/>
    <x v="0"/>
    <x v="31"/>
    <n v="0"/>
    <n v="0"/>
    <s v="392095"/>
    <n v="7.25"/>
    <x v="1"/>
    <n v="1"/>
  </r>
  <r>
    <n v="1016"/>
    <x v="0"/>
    <x v="0"/>
    <s v="Kennedy, Mr. John"/>
    <x v="0"/>
    <x v="20"/>
    <n v="0"/>
    <n v="0"/>
    <s v="368783"/>
    <n v="7.75"/>
    <x v="0"/>
    <n v="1"/>
  </r>
  <r>
    <n v="1017"/>
    <x v="1"/>
    <x v="0"/>
    <s v="Cribb, Miss. Laura Alice"/>
    <x v="1"/>
    <x v="34"/>
    <n v="0"/>
    <n v="1"/>
    <s v="371362"/>
    <n v="16.100000000000001"/>
    <x v="1"/>
    <n v="1"/>
  </r>
  <r>
    <n v="1018"/>
    <x v="0"/>
    <x v="0"/>
    <s v="Brobeck, Mr. Karl Rudolf"/>
    <x v="0"/>
    <x v="4"/>
    <n v="0"/>
    <n v="0"/>
    <s v="350045"/>
    <n v="7.7957999999999998"/>
    <x v="1"/>
    <n v="1"/>
  </r>
  <r>
    <n v="1019"/>
    <x v="1"/>
    <x v="0"/>
    <s v="McCoy, Miss. Alicia"/>
    <x v="1"/>
    <x v="20"/>
    <n v="2"/>
    <n v="0"/>
    <s v="367226"/>
    <n v="23.25"/>
    <x v="0"/>
    <n v="1"/>
  </r>
  <r>
    <n v="1020"/>
    <x v="0"/>
    <x v="1"/>
    <s v="Bowenur, Mr. Solomon"/>
    <x v="0"/>
    <x v="49"/>
    <n v="0"/>
    <n v="0"/>
    <s v="211535"/>
    <n v="13"/>
    <x v="1"/>
    <n v="1"/>
  </r>
  <r>
    <n v="1021"/>
    <x v="0"/>
    <x v="0"/>
    <s v="Petersen, Mr. Marius"/>
    <x v="0"/>
    <x v="14"/>
    <n v="0"/>
    <n v="0"/>
    <s v="342441"/>
    <n v="8.0500000000000007"/>
    <x v="1"/>
    <n v="1"/>
  </r>
  <r>
    <n v="1022"/>
    <x v="0"/>
    <x v="0"/>
    <s v="Spinner, Mr. Henry John"/>
    <x v="0"/>
    <x v="35"/>
    <n v="0"/>
    <n v="0"/>
    <s v="STON/OQ. 369943"/>
    <n v="8.0500000000000007"/>
    <x v="1"/>
    <n v="1"/>
  </r>
  <r>
    <n v="1023"/>
    <x v="0"/>
    <x v="2"/>
    <s v="Gracie, Col. Archibald IV"/>
    <x v="0"/>
    <x v="50"/>
    <n v="0"/>
    <n v="0"/>
    <s v="113780"/>
    <n v="28.5"/>
    <x v="2"/>
    <n v="1"/>
  </r>
  <r>
    <n v="1024"/>
    <x v="1"/>
    <x v="0"/>
    <s v="Lefebre, Mrs. Frank (Frances)"/>
    <x v="1"/>
    <x v="15"/>
    <n v="0"/>
    <n v="4"/>
    <s v="4133"/>
    <n v="25.466699999999999"/>
    <x v="1"/>
    <n v="1"/>
  </r>
  <r>
    <n v="1025"/>
    <x v="0"/>
    <x v="0"/>
    <s v="Thomas, Mr. Charles P"/>
    <x v="0"/>
    <x v="7"/>
    <n v="1"/>
    <n v="0"/>
    <s v="2621"/>
    <n v="6.4375"/>
    <x v="2"/>
    <n v="1"/>
  </r>
  <r>
    <n v="1026"/>
    <x v="0"/>
    <x v="0"/>
    <s v="Dintcheff, Mr. Valtcho"/>
    <x v="0"/>
    <x v="45"/>
    <n v="0"/>
    <n v="0"/>
    <s v="349226"/>
    <n v="7.8958000000000004"/>
    <x v="1"/>
    <n v="1"/>
  </r>
  <r>
    <n v="1027"/>
    <x v="0"/>
    <x v="0"/>
    <s v="Carlsson, Mr. Carl Robert"/>
    <x v="0"/>
    <x v="14"/>
    <n v="0"/>
    <n v="0"/>
    <s v="350409"/>
    <n v="7.8541999999999996"/>
    <x v="1"/>
    <n v="1"/>
  </r>
  <r>
    <n v="1028"/>
    <x v="0"/>
    <x v="0"/>
    <s v="Zakarian, Mr. Mapriededer"/>
    <x v="0"/>
    <x v="51"/>
    <n v="0"/>
    <n v="0"/>
    <s v="2656"/>
    <n v="7.2249999999999996"/>
    <x v="2"/>
    <n v="1"/>
  </r>
  <r>
    <n v="1029"/>
    <x v="0"/>
    <x v="1"/>
    <s v="Schmidt, Mr. August"/>
    <x v="0"/>
    <x v="7"/>
    <n v="0"/>
    <n v="0"/>
    <s v="248659"/>
    <n v="13"/>
    <x v="1"/>
    <n v="1"/>
  </r>
  <r>
    <n v="1030"/>
    <x v="1"/>
    <x v="0"/>
    <s v="Drapkin, Miss. Jennie"/>
    <x v="1"/>
    <x v="12"/>
    <n v="0"/>
    <n v="0"/>
    <s v="SOTON/OQ 392083"/>
    <n v="8.0500000000000007"/>
    <x v="1"/>
    <n v="1"/>
  </r>
  <r>
    <n v="1031"/>
    <x v="0"/>
    <x v="0"/>
    <s v="Goodwin, Mr. Charles Frederick"/>
    <x v="0"/>
    <x v="27"/>
    <n v="1"/>
    <n v="6"/>
    <s v="CA 2144"/>
    <n v="46.9"/>
    <x v="1"/>
    <n v="1"/>
  </r>
  <r>
    <n v="1032"/>
    <x v="1"/>
    <x v="0"/>
    <s v="Goodwin, Miss. Jessie Allis"/>
    <x v="1"/>
    <x v="32"/>
    <n v="5"/>
    <n v="2"/>
    <s v="CA 2144"/>
    <n v="46.9"/>
    <x v="1"/>
    <n v="1"/>
  </r>
  <r>
    <n v="1033"/>
    <x v="1"/>
    <x v="2"/>
    <s v="Daniels, Miss. Sarah"/>
    <x v="1"/>
    <x v="23"/>
    <n v="0"/>
    <n v="0"/>
    <s v="113781"/>
    <n v="32"/>
    <x v="1"/>
    <n v="1"/>
  </r>
  <r>
    <n v="1034"/>
    <x v="0"/>
    <x v="2"/>
    <s v="Ryerson, Mr. Arthur Larned"/>
    <x v="0"/>
    <x v="52"/>
    <n v="1"/>
    <n v="3"/>
    <s v="PC 17608"/>
    <n v="61"/>
    <x v="2"/>
    <n v="1"/>
  </r>
  <r>
    <n v="1035"/>
    <x v="0"/>
    <x v="1"/>
    <s v="Beauchamp, Mr. Henry James"/>
    <x v="0"/>
    <x v="31"/>
    <n v="0"/>
    <n v="0"/>
    <s v="244358"/>
    <n v="26"/>
    <x v="1"/>
    <n v="1"/>
  </r>
  <r>
    <n v="1036"/>
    <x v="0"/>
    <x v="2"/>
    <s v="Lindeberg-Lind, Mr. Erik Gustaf (Mr Edward Lingrey&quot;)&quot;"/>
    <x v="0"/>
    <x v="49"/>
    <n v="0"/>
    <n v="0"/>
    <s v="17475"/>
    <n v="26.55"/>
    <x v="1"/>
    <n v="1"/>
  </r>
  <r>
    <n v="1037"/>
    <x v="0"/>
    <x v="0"/>
    <s v="Vander Planke, Mr. Julius"/>
    <x v="0"/>
    <x v="37"/>
    <n v="3"/>
    <n v="0"/>
    <s v="345763"/>
    <n v="18"/>
    <x v="1"/>
    <n v="1"/>
  </r>
  <r>
    <n v="1038"/>
    <x v="0"/>
    <x v="2"/>
    <s v="Hilliard, Mr. Herbert Henry"/>
    <x v="0"/>
    <x v="45"/>
    <n v="0"/>
    <n v="0"/>
    <s v="17463"/>
    <n v="51.862499999999997"/>
    <x v="1"/>
    <n v="1"/>
  </r>
  <r>
    <n v="1039"/>
    <x v="0"/>
    <x v="0"/>
    <s v="Davies, Mr. Evan"/>
    <x v="0"/>
    <x v="4"/>
    <n v="0"/>
    <n v="0"/>
    <s v="SC/A4 23568"/>
    <n v="8.0500000000000007"/>
    <x v="1"/>
    <n v="1"/>
  </r>
  <r>
    <n v="1040"/>
    <x v="0"/>
    <x v="2"/>
    <s v="Crafton, Mr. John Bertram"/>
    <x v="0"/>
    <x v="24"/>
    <n v="0"/>
    <n v="0"/>
    <s v="113791"/>
    <n v="26.55"/>
    <x v="1"/>
    <n v="1"/>
  </r>
  <r>
    <n v="1041"/>
    <x v="0"/>
    <x v="1"/>
    <s v="Lahtinen, Rev. William"/>
    <x v="0"/>
    <x v="6"/>
    <n v="1"/>
    <n v="1"/>
    <s v="250651"/>
    <n v="26"/>
    <x v="1"/>
    <n v="1"/>
  </r>
  <r>
    <n v="1042"/>
    <x v="1"/>
    <x v="2"/>
    <s v="Earnshaw, Mrs. Boulton (Olive Potter)"/>
    <x v="1"/>
    <x v="12"/>
    <n v="0"/>
    <n v="1"/>
    <s v="11767"/>
    <n v="83.158299999999997"/>
    <x v="2"/>
    <n v="1"/>
  </r>
  <r>
    <n v="1043"/>
    <x v="0"/>
    <x v="0"/>
    <s v="Matinoff, Mr. Nicola"/>
    <x v="0"/>
    <x v="11"/>
    <n v="0"/>
    <n v="0"/>
    <s v="349255"/>
    <n v="7.8958000000000004"/>
    <x v="2"/>
    <n v="1"/>
  </r>
  <r>
    <n v="1044"/>
    <x v="0"/>
    <x v="0"/>
    <s v="Storey, Mr. Thomas"/>
    <x v="0"/>
    <x v="53"/>
    <n v="0"/>
    <n v="0"/>
    <s v="3701"/>
    <m/>
    <x v="1"/>
    <n v="1"/>
  </r>
  <r>
    <n v="1045"/>
    <x v="1"/>
    <x v="0"/>
    <s v="Klasen, Mrs. (Hulda Kristina Eugenia Lofqvist)"/>
    <x v="1"/>
    <x v="24"/>
    <n v="0"/>
    <n v="2"/>
    <s v="350405"/>
    <n v="121833"/>
    <x v="1"/>
    <n v="1"/>
  </r>
  <r>
    <n v="1046"/>
    <x v="0"/>
    <x v="0"/>
    <s v="Asplund, Master. Filip Oscar"/>
    <x v="0"/>
    <x v="36"/>
    <n v="4"/>
    <n v="2"/>
    <s v="347077"/>
    <n v="313875"/>
    <x v="1"/>
    <n v="1"/>
  </r>
  <r>
    <n v="1047"/>
    <x v="0"/>
    <x v="0"/>
    <s v="Duquemin, Mr. Joseph"/>
    <x v="0"/>
    <x v="14"/>
    <n v="0"/>
    <n v="0"/>
    <s v="S.O./P.P. 752"/>
    <n v="7.55"/>
    <x v="1"/>
    <n v="1"/>
  </r>
  <r>
    <n v="1048"/>
    <x v="1"/>
    <x v="2"/>
    <s v="Bird, Miss. Ellen"/>
    <x v="1"/>
    <x v="22"/>
    <n v="0"/>
    <n v="0"/>
    <s v="PC 17483"/>
    <n v="36"/>
    <x v="1"/>
    <n v="1"/>
  </r>
  <r>
    <n v="1049"/>
    <x v="1"/>
    <x v="0"/>
    <s v="Lundin, Miss. Olga Elida"/>
    <x v="1"/>
    <x v="12"/>
    <n v="0"/>
    <n v="0"/>
    <s v="347469"/>
    <n v="78542"/>
    <x v="1"/>
    <n v="1"/>
  </r>
  <r>
    <n v="1050"/>
    <x v="0"/>
    <x v="2"/>
    <s v="Borebank, Mr. John James"/>
    <x v="0"/>
    <x v="49"/>
    <n v="0"/>
    <n v="0"/>
    <s v="110489"/>
    <n v="26.55"/>
    <x v="1"/>
    <n v="1"/>
  </r>
  <r>
    <n v="1051"/>
    <x v="1"/>
    <x v="0"/>
    <s v="Peacock, Mrs. Benjamin (Edith Nile)"/>
    <x v="1"/>
    <x v="7"/>
    <n v="0"/>
    <n v="2"/>
    <s v="SOTON/O.Q. 3101315"/>
    <n v="13775"/>
    <x v="1"/>
    <n v="1"/>
  </r>
  <r>
    <n v="1052"/>
    <x v="1"/>
    <x v="0"/>
    <s v="Smyth, Miss. Julia"/>
    <x v="1"/>
    <x v="30"/>
    <n v="0"/>
    <n v="0"/>
    <s v="335432"/>
    <n v="77333"/>
    <x v="0"/>
    <n v="1"/>
  </r>
  <r>
    <n v="1053"/>
    <x v="0"/>
    <x v="0"/>
    <s v="Touma, Master. Georges Youssef"/>
    <x v="0"/>
    <x v="54"/>
    <n v="1"/>
    <n v="1"/>
    <s v="2650"/>
    <n v="152458"/>
    <x v="2"/>
    <n v="1"/>
  </r>
  <r>
    <n v="1054"/>
    <x v="1"/>
    <x v="1"/>
    <s v="Wright, Miss. Marion"/>
    <x v="1"/>
    <x v="7"/>
    <n v="0"/>
    <n v="0"/>
    <s v="220844"/>
    <n v="13.5"/>
    <x v="1"/>
    <n v="1"/>
  </r>
  <r>
    <n v="1055"/>
    <x v="0"/>
    <x v="0"/>
    <s v="Pearce, Mr. Ernest"/>
    <x v="0"/>
    <x v="26"/>
    <n v="0"/>
    <n v="0"/>
    <s v="343271"/>
    <n v="7"/>
    <x v="1"/>
    <n v="1"/>
  </r>
  <r>
    <n v="1056"/>
    <x v="0"/>
    <x v="1"/>
    <s v="Peruschitz, Rev. Joseph Maria"/>
    <x v="0"/>
    <x v="10"/>
    <n v="0"/>
    <n v="0"/>
    <s v="237393"/>
    <n v="13"/>
    <x v="1"/>
    <n v="1"/>
  </r>
  <r>
    <n v="1057"/>
    <x v="1"/>
    <x v="0"/>
    <s v="Kink-Heilmann, Mrs. Anton (Luise Heilmann)"/>
    <x v="1"/>
    <x v="7"/>
    <n v="1"/>
    <n v="1"/>
    <s v="315153"/>
    <n v="22025"/>
    <x v="1"/>
    <n v="1"/>
  </r>
  <r>
    <n v="1058"/>
    <x v="0"/>
    <x v="2"/>
    <s v="Brandeis, Mr. Emil"/>
    <x v="0"/>
    <x v="19"/>
    <n v="0"/>
    <n v="0"/>
    <s v="PC 17591"/>
    <n v="48"/>
    <x v="2"/>
    <n v="1"/>
  </r>
  <r>
    <n v="1059"/>
    <x v="0"/>
    <x v="0"/>
    <s v="Ford, Mr. Edward Watson"/>
    <x v="0"/>
    <x v="8"/>
    <n v="2"/>
    <n v="2"/>
    <s v="W./C. 6608"/>
    <n v="34375"/>
    <x v="1"/>
    <n v="1"/>
  </r>
  <r>
    <n v="1060"/>
    <x v="1"/>
    <x v="2"/>
    <s v="Cassebeer, Mrs. Henry Arthur Jr (Eleanor Genevieve Fosdick)"/>
    <x v="1"/>
    <x v="19"/>
    <n v="0"/>
    <n v="0"/>
    <s v="17770"/>
    <n v="43"/>
    <x v="2"/>
    <n v="1"/>
  </r>
  <r>
    <n v="1061"/>
    <x v="1"/>
    <x v="0"/>
    <s v="Hellstrom, Miss. Hilda Maria"/>
    <x v="1"/>
    <x v="4"/>
    <n v="0"/>
    <n v="0"/>
    <s v="7548"/>
    <n v="89625"/>
    <x v="1"/>
    <n v="1"/>
  </r>
  <r>
    <n v="1062"/>
    <x v="0"/>
    <x v="0"/>
    <s v="Lithman, Mr. Simon"/>
    <x v="0"/>
    <x v="49"/>
    <n v="0"/>
    <n v="0"/>
    <s v="S.O./P.P. 251"/>
    <n v="7.55"/>
    <x v="1"/>
    <n v="1"/>
  </r>
  <r>
    <n v="1063"/>
    <x v="0"/>
    <x v="0"/>
    <s v="Zakarian, Mr. Ortin"/>
    <x v="0"/>
    <x v="3"/>
    <n v="0"/>
    <n v="0"/>
    <s v="2670"/>
    <n v="7225"/>
    <x v="2"/>
    <n v="1"/>
  </r>
  <r>
    <n v="1064"/>
    <x v="0"/>
    <x v="0"/>
    <s v="Dyker, Mr. Adolf Fredrik"/>
    <x v="0"/>
    <x v="12"/>
    <n v="1"/>
    <n v="0"/>
    <s v="347072"/>
    <n v="13.9"/>
    <x v="1"/>
    <n v="1"/>
  </r>
  <r>
    <n v="1065"/>
    <x v="0"/>
    <x v="0"/>
    <s v="Torfa, Mr. Assad"/>
    <x v="0"/>
    <x v="4"/>
    <n v="0"/>
    <n v="0"/>
    <s v="2673"/>
    <n v="72292"/>
    <x v="2"/>
    <n v="1"/>
  </r>
  <r>
    <n v="1066"/>
    <x v="0"/>
    <x v="0"/>
    <s v="Asplund, Mr. Carl Oscar Vilhelm Gustafsson"/>
    <x v="0"/>
    <x v="27"/>
    <n v="1"/>
    <n v="5"/>
    <s v="347077"/>
    <n v="313875"/>
    <x v="1"/>
    <n v="1"/>
  </r>
  <r>
    <n v="1067"/>
    <x v="1"/>
    <x v="1"/>
    <s v="Brown, Miss. Edith Eileen"/>
    <x v="1"/>
    <x v="55"/>
    <n v="0"/>
    <n v="2"/>
    <s v="29750"/>
    <n v="39"/>
    <x v="1"/>
    <n v="1"/>
  </r>
  <r>
    <n v="1068"/>
    <x v="1"/>
    <x v="1"/>
    <s v="Sincock, Miss. Maude"/>
    <x v="1"/>
    <x v="30"/>
    <n v="0"/>
    <n v="0"/>
    <s v="C.A. 33112"/>
    <n v="36.75"/>
    <x v="1"/>
    <n v="1"/>
  </r>
  <r>
    <n v="1069"/>
    <x v="0"/>
    <x v="2"/>
    <s v="Stengel, Mr. Charles Emil Henry"/>
    <x v="0"/>
    <x v="56"/>
    <n v="1"/>
    <n v="0"/>
    <s v="11778"/>
    <n v="34"/>
    <x v="2"/>
    <n v="1"/>
  </r>
  <r>
    <n v="1070"/>
    <x v="1"/>
    <x v="1"/>
    <s v="Becker, Mrs. Allen Oliver (Nellie E Baumgardner)"/>
    <x v="1"/>
    <x v="24"/>
    <n v="0"/>
    <n v="3"/>
    <s v="230136"/>
    <n v="39"/>
    <x v="1"/>
    <n v="1"/>
  </r>
  <r>
    <n v="1071"/>
    <x v="1"/>
    <x v="2"/>
    <s v="Compton, Mrs. Alexander Taylor (Mary Eliza Ingersoll)"/>
    <x v="1"/>
    <x v="57"/>
    <n v="0"/>
    <n v="2"/>
    <s v="PC 17756"/>
    <n v="20"/>
    <x v="2"/>
    <n v="1"/>
  </r>
  <r>
    <n v="1072"/>
    <x v="0"/>
    <x v="1"/>
    <s v="McCrie, Mr. James Matthew"/>
    <x v="0"/>
    <x v="6"/>
    <n v="0"/>
    <n v="0"/>
    <s v="233478"/>
    <n v="13"/>
    <x v="1"/>
    <n v="1"/>
  </r>
  <r>
    <n v="1073"/>
    <x v="0"/>
    <x v="2"/>
    <s v="Compton, Mr. Alexander Taylor Jr"/>
    <x v="0"/>
    <x v="33"/>
    <n v="1"/>
    <n v="1"/>
    <s v="PC 17756"/>
    <n v="29"/>
    <x v="2"/>
    <n v="1"/>
  </r>
  <r>
    <n v="1074"/>
    <x v="1"/>
    <x v="2"/>
    <s v="Marvin, Mrs. Daniel Warner (Mary Graham Carmichael Farquarson)"/>
    <x v="1"/>
    <x v="8"/>
    <n v="1"/>
    <n v="0"/>
    <s v="113773"/>
    <n v="53.1"/>
    <x v="1"/>
    <n v="1"/>
  </r>
  <r>
    <n v="1075"/>
    <x v="0"/>
    <x v="0"/>
    <s v="Lane, Mr. Patrick"/>
    <x v="0"/>
    <x v="9"/>
    <n v="0"/>
    <n v="0"/>
    <s v="7935"/>
    <n v="7.75"/>
    <x v="0"/>
    <n v="1"/>
  </r>
  <r>
    <n v="1076"/>
    <x v="1"/>
    <x v="2"/>
    <s v="Douglas, Mrs. Frederick Charles (Mary Helene Baxter)"/>
    <x v="1"/>
    <x v="3"/>
    <n v="1"/>
    <n v="1"/>
    <s v="PC 17558"/>
    <n v="22"/>
    <x v="2"/>
    <n v="1"/>
  </r>
  <r>
    <n v="1077"/>
    <x v="0"/>
    <x v="1"/>
    <s v="Maybery, Mr. Frank Hubert"/>
    <x v="0"/>
    <x v="27"/>
    <n v="0"/>
    <n v="0"/>
    <s v="239059"/>
    <n v="16"/>
    <x v="1"/>
    <n v="1"/>
  </r>
  <r>
    <n v="1078"/>
    <x v="1"/>
    <x v="1"/>
    <s v="Phillips, Miss. Alice Frances Louisa"/>
    <x v="1"/>
    <x v="9"/>
    <n v="0"/>
    <n v="1"/>
    <s v="S.O./P.P. 2"/>
    <n v="21"/>
    <x v="1"/>
    <n v="1"/>
  </r>
  <r>
    <n v="1079"/>
    <x v="0"/>
    <x v="0"/>
    <s v="Davies, Mr. Joseph"/>
    <x v="0"/>
    <x v="34"/>
    <n v="2"/>
    <n v="0"/>
    <s v="A/4 48873"/>
    <n v="8.0500000000000007"/>
    <x v="1"/>
    <n v="1"/>
  </r>
  <r>
    <n v="1080"/>
    <x v="1"/>
    <x v="0"/>
    <s v="Sage, Miss. Ada"/>
    <x v="1"/>
    <x v="24"/>
    <n v="8"/>
    <n v="2"/>
    <s v="CA. 2343"/>
    <n v="69.55"/>
    <x v="1"/>
    <n v="1"/>
  </r>
  <r>
    <n v="1081"/>
    <x v="0"/>
    <x v="1"/>
    <s v="Veal, Mr. James"/>
    <x v="0"/>
    <x v="27"/>
    <n v="0"/>
    <n v="0"/>
    <s v="28221"/>
    <n v="13"/>
    <x v="1"/>
    <n v="1"/>
  </r>
  <r>
    <n v="1082"/>
    <x v="0"/>
    <x v="1"/>
    <s v="Angle, Mr. William A"/>
    <x v="0"/>
    <x v="58"/>
    <n v="1"/>
    <n v="0"/>
    <s v="226875"/>
    <n v="26"/>
    <x v="1"/>
    <n v="1"/>
  </r>
  <r>
    <n v="1083"/>
    <x v="0"/>
    <x v="2"/>
    <s v="Salomon, Mr. Abraham L"/>
    <x v="0"/>
    <x v="35"/>
    <n v="0"/>
    <n v="0"/>
    <s v="111163"/>
    <n v="26"/>
    <x v="1"/>
    <n v="1"/>
  </r>
  <r>
    <n v="1084"/>
    <x v="0"/>
    <x v="0"/>
    <s v="van Billiard, Master. Walter John"/>
    <x v="0"/>
    <x v="59"/>
    <n v="1"/>
    <n v="1"/>
    <s v="A/5. 851"/>
    <n v="14.5"/>
    <x v="1"/>
    <n v="1"/>
  </r>
  <r>
    <n v="1085"/>
    <x v="0"/>
    <x v="1"/>
    <s v="Lingane, Mr. John"/>
    <x v="0"/>
    <x v="52"/>
    <n v="0"/>
    <n v="0"/>
    <s v="235509"/>
    <n v="12.35"/>
    <x v="0"/>
    <n v="1"/>
  </r>
  <r>
    <n v="1086"/>
    <x v="0"/>
    <x v="1"/>
    <s v="Drew, Master. Marshall Brines"/>
    <x v="0"/>
    <x v="60"/>
    <n v="0"/>
    <n v="2"/>
    <s v="28220"/>
    <n v="32.5"/>
    <x v="1"/>
    <n v="1"/>
  </r>
  <r>
    <n v="1087"/>
    <x v="0"/>
    <x v="0"/>
    <s v="Karlsson, Mr. Julius Konrad Eugen"/>
    <x v="0"/>
    <x v="23"/>
    <n v="0"/>
    <n v="0"/>
    <s v="347465"/>
    <n v="78542"/>
    <x v="1"/>
    <n v="1"/>
  </r>
  <r>
    <n v="1088"/>
    <x v="0"/>
    <x v="2"/>
    <s v="Spedden, Master. Robert Douglas"/>
    <x v="0"/>
    <x v="41"/>
    <n v="0"/>
    <n v="2"/>
    <s v="16966"/>
    <n v="134.5"/>
    <x v="2"/>
    <n v="1"/>
  </r>
  <r>
    <n v="1089"/>
    <x v="1"/>
    <x v="0"/>
    <s v="Nilsson, Miss. Berta Olivia"/>
    <x v="1"/>
    <x v="8"/>
    <n v="0"/>
    <n v="0"/>
    <s v="347066"/>
    <n v="7775"/>
    <x v="1"/>
    <n v="1"/>
  </r>
  <r>
    <n v="1090"/>
    <x v="0"/>
    <x v="1"/>
    <s v="Baimbrigge, Mr. Charles Robert"/>
    <x v="0"/>
    <x v="12"/>
    <n v="0"/>
    <n v="0"/>
    <s v="C.A. 31030"/>
    <n v="10.5"/>
    <x v="1"/>
    <n v="1"/>
  </r>
  <r>
    <n v="1091"/>
    <x v="1"/>
    <x v="0"/>
    <s v="Rasmussen, Mrs. (Lena Jacobsen Solvang)"/>
    <x v="1"/>
    <x v="35"/>
    <n v="0"/>
    <n v="0"/>
    <s v="65305"/>
    <n v="81125"/>
    <x v="1"/>
    <n v="1"/>
  </r>
  <r>
    <n v="1092"/>
    <x v="1"/>
    <x v="0"/>
    <s v="Murphy, Miss. Nora"/>
    <x v="1"/>
    <x v="20"/>
    <n v="0"/>
    <n v="0"/>
    <s v="36568"/>
    <n v="15.5"/>
    <x v="0"/>
    <n v="1"/>
  </r>
  <r>
    <n v="1093"/>
    <x v="0"/>
    <x v="0"/>
    <s v="Danbom, Master. Gilbert Sigvard Emanuel"/>
    <x v="0"/>
    <x v="61"/>
    <n v="0"/>
    <n v="2"/>
    <s v="347080"/>
    <n v="14.4"/>
    <x v="1"/>
    <n v="1"/>
  </r>
  <r>
    <n v="1094"/>
    <x v="0"/>
    <x v="2"/>
    <s v="Astor, Col. John Jacob"/>
    <x v="0"/>
    <x v="1"/>
    <n v="1"/>
    <n v="0"/>
    <s v="PC 17757"/>
    <n v="44"/>
    <x v="2"/>
    <n v="1"/>
  </r>
  <r>
    <n v="1095"/>
    <x v="1"/>
    <x v="1"/>
    <s v="Quick, Miss. Winifred Vera"/>
    <x v="1"/>
    <x v="60"/>
    <n v="1"/>
    <n v="1"/>
    <s v="26360"/>
    <n v="26"/>
    <x v="1"/>
    <n v="1"/>
  </r>
  <r>
    <n v="1096"/>
    <x v="0"/>
    <x v="1"/>
    <s v="Andrew, Mr. Frank Thomas"/>
    <x v="0"/>
    <x v="26"/>
    <n v="0"/>
    <n v="0"/>
    <s v="C.A. 34050"/>
    <n v="10.5"/>
    <x v="1"/>
    <n v="1"/>
  </r>
  <r>
    <n v="1097"/>
    <x v="0"/>
    <x v="2"/>
    <s v="Omont, Mr. Alfred Fernand"/>
    <x v="0"/>
    <x v="62"/>
    <n v="0"/>
    <n v="0"/>
    <s v="F.C. 12998"/>
    <n v="56"/>
    <x v="2"/>
    <n v="1"/>
  </r>
  <r>
    <n v="1098"/>
    <x v="1"/>
    <x v="0"/>
    <s v="McGowan, Miss. Katherine"/>
    <x v="1"/>
    <x v="15"/>
    <n v="0"/>
    <n v="0"/>
    <s v="9232"/>
    <n v="7.75"/>
    <x v="0"/>
    <n v="1"/>
  </r>
  <r>
    <n v="1099"/>
    <x v="0"/>
    <x v="1"/>
    <s v="Collett, Mr. Sidney C Stuart"/>
    <x v="0"/>
    <x v="14"/>
    <n v="0"/>
    <n v="0"/>
    <s v="28034"/>
    <n v="10.5"/>
    <x v="1"/>
    <n v="1"/>
  </r>
  <r>
    <n v="1100"/>
    <x v="1"/>
    <x v="2"/>
    <s v="Rosenbaum, Miss. Edith Louise"/>
    <x v="1"/>
    <x v="23"/>
    <n v="0"/>
    <n v="0"/>
    <s v="PC 17613"/>
    <n v="53"/>
    <x v="2"/>
    <n v="1"/>
  </r>
  <r>
    <n v="1101"/>
    <x v="0"/>
    <x v="0"/>
    <s v="Delalic, Mr. Redjo"/>
    <x v="0"/>
    <x v="26"/>
    <n v="0"/>
    <n v="0"/>
    <s v="349250"/>
    <n v="78958"/>
    <x v="1"/>
    <n v="1"/>
  </r>
  <r>
    <n v="1102"/>
    <x v="0"/>
    <x v="0"/>
    <s v="Andersen, Mr. Albert Karvin"/>
    <x v="0"/>
    <x v="35"/>
    <n v="0"/>
    <n v="0"/>
    <s v="C 4001"/>
    <n v="22525"/>
    <x v="1"/>
    <n v="1"/>
  </r>
  <r>
    <n v="1103"/>
    <x v="0"/>
    <x v="0"/>
    <s v="Finoli, Mr. Luigi"/>
    <x v="0"/>
    <x v="40"/>
    <n v="0"/>
    <n v="0"/>
    <s v="SOTON/O.Q. 3101308"/>
    <n v="7.05"/>
    <x v="1"/>
    <n v="1"/>
  </r>
  <r>
    <n v="1104"/>
    <x v="0"/>
    <x v="1"/>
    <s v="Deacon, Mr. Percy William"/>
    <x v="0"/>
    <x v="34"/>
    <n v="0"/>
    <n v="0"/>
    <s v="S.O.C. 14879"/>
    <n v="73.5"/>
    <x v="1"/>
    <n v="1"/>
  </r>
  <r>
    <n v="1105"/>
    <x v="1"/>
    <x v="1"/>
    <s v="Howard, Mrs. Benjamin (Ellen Truelove Arman)"/>
    <x v="1"/>
    <x v="29"/>
    <n v="1"/>
    <n v="0"/>
    <s v="24065"/>
    <n v="26"/>
    <x v="1"/>
    <n v="1"/>
  </r>
  <r>
    <n v="1106"/>
    <x v="1"/>
    <x v="0"/>
    <s v="Andersson, Miss. Ida Augusta Margareta"/>
    <x v="1"/>
    <x v="62"/>
    <n v="4"/>
    <n v="2"/>
    <s v="347091"/>
    <n v="7775"/>
    <x v="1"/>
    <n v="1"/>
  </r>
  <r>
    <n v="1107"/>
    <x v="0"/>
    <x v="2"/>
    <s v="Head, Mr. Christopher"/>
    <x v="0"/>
    <x v="49"/>
    <n v="0"/>
    <n v="0"/>
    <s v="113038"/>
    <n v="42.5"/>
    <x v="1"/>
    <n v="1"/>
  </r>
  <r>
    <n v="1108"/>
    <x v="1"/>
    <x v="0"/>
    <s v="Mahon, Miss. Bridget Delia"/>
    <x v="1"/>
    <x v="20"/>
    <n v="0"/>
    <n v="0"/>
    <s v="330924"/>
    <n v="78792"/>
    <x v="0"/>
    <n v="1"/>
  </r>
  <r>
    <n v="1109"/>
    <x v="0"/>
    <x v="2"/>
    <s v="Wick, Mr. George Dennick"/>
    <x v="0"/>
    <x v="63"/>
    <n v="1"/>
    <n v="1"/>
    <s v="36928"/>
    <n v="23"/>
    <x v="1"/>
    <n v="1"/>
  </r>
  <r>
    <n v="1110"/>
    <x v="1"/>
    <x v="2"/>
    <s v="Widener, Mrs. George Dunton (Eleanor Elkins)"/>
    <x v="1"/>
    <x v="20"/>
    <n v="1"/>
    <n v="1"/>
    <s v="113503"/>
    <n v="38"/>
    <x v="2"/>
    <n v="1"/>
  </r>
  <r>
    <n v="1111"/>
    <x v="0"/>
    <x v="0"/>
    <s v="Thomson, Mr. Alexander Morrison"/>
    <x v="0"/>
    <x v="30"/>
    <n v="0"/>
    <n v="0"/>
    <s v="32302"/>
    <n v="8.0500000000000007"/>
    <x v="1"/>
    <n v="1"/>
  </r>
  <r>
    <n v="1112"/>
    <x v="1"/>
    <x v="1"/>
    <s v="Duran y More, Miss. Florentina"/>
    <x v="1"/>
    <x v="6"/>
    <n v="1"/>
    <n v="0"/>
    <s v="SC/PARIS 2148"/>
    <n v="138583"/>
    <x v="2"/>
    <n v="1"/>
  </r>
  <r>
    <n v="1113"/>
    <x v="0"/>
    <x v="0"/>
    <s v="Reynolds, Mr. Harold J"/>
    <x v="0"/>
    <x v="9"/>
    <n v="0"/>
    <n v="0"/>
    <s v="342684"/>
    <n v="8.0500000000000007"/>
    <x v="1"/>
    <n v="1"/>
  </r>
  <r>
    <n v="1114"/>
    <x v="1"/>
    <x v="1"/>
    <s v="Cook, Mrs. (Selena Rogers)"/>
    <x v="1"/>
    <x v="4"/>
    <n v="0"/>
    <n v="0"/>
    <s v="W./C. 14266"/>
    <n v="10.5"/>
    <x v="1"/>
    <n v="1"/>
  </r>
  <r>
    <n v="1115"/>
    <x v="0"/>
    <x v="0"/>
    <s v="Karlsson, Mr. Einar Gervasius"/>
    <x v="0"/>
    <x v="9"/>
    <n v="0"/>
    <n v="0"/>
    <s v="350053"/>
    <n v="77958"/>
    <x v="1"/>
    <n v="1"/>
  </r>
  <r>
    <n v="1116"/>
    <x v="1"/>
    <x v="2"/>
    <s v="Candee, Mrs. Edward (Helen Churchill Hungerford)"/>
    <x v="1"/>
    <x v="50"/>
    <n v="0"/>
    <n v="0"/>
    <s v="PC 17606"/>
    <n v="53"/>
    <x v="2"/>
    <n v="1"/>
  </r>
  <r>
    <n v="1117"/>
    <x v="1"/>
    <x v="0"/>
    <s v="Moubarek, Mrs. George (Omine Amenia&quot; Alexander)&quot;"/>
    <x v="1"/>
    <x v="64"/>
    <n v="0"/>
    <n v="2"/>
    <s v="2661"/>
    <n v="152458"/>
    <x v="2"/>
    <n v="1"/>
  </r>
  <r>
    <n v="1118"/>
    <x v="0"/>
    <x v="0"/>
    <s v="Asplund, Mr. Johan Charles"/>
    <x v="0"/>
    <x v="12"/>
    <n v="0"/>
    <n v="0"/>
    <s v="350054"/>
    <n v="77958"/>
    <x v="1"/>
    <n v="1"/>
  </r>
  <r>
    <n v="1119"/>
    <x v="1"/>
    <x v="0"/>
    <s v="McNeill, Miss. Bridget"/>
    <x v="1"/>
    <x v="58"/>
    <n v="0"/>
    <n v="0"/>
    <s v="370368"/>
    <n v="7.75"/>
    <x v="0"/>
    <n v="1"/>
  </r>
  <r>
    <n v="1120"/>
    <x v="0"/>
    <x v="0"/>
    <s v="Everett, Mr. Thomas James"/>
    <x v="0"/>
    <x v="65"/>
    <n v="0"/>
    <n v="0"/>
    <s v="C.A. 6212"/>
    <n v="15.1"/>
    <x v="1"/>
    <n v="1"/>
  </r>
  <r>
    <n v="1121"/>
    <x v="0"/>
    <x v="1"/>
    <s v="Hocking, Mr. Samuel James Metcalfe"/>
    <x v="0"/>
    <x v="24"/>
    <n v="0"/>
    <n v="0"/>
    <s v="242963"/>
    <n v="13"/>
    <x v="1"/>
    <n v="1"/>
  </r>
  <r>
    <n v="1122"/>
    <x v="0"/>
    <x v="1"/>
    <s v="Sweet, Mr. George Frederick"/>
    <x v="0"/>
    <x v="5"/>
    <n v="0"/>
    <n v="0"/>
    <s v="220845"/>
    <n v="65"/>
    <x v="1"/>
    <n v="1"/>
  </r>
  <r>
    <n v="1123"/>
    <x v="1"/>
    <x v="2"/>
    <s v="Willard, Miss. Constance"/>
    <x v="1"/>
    <x v="9"/>
    <n v="0"/>
    <n v="0"/>
    <s v="113795"/>
    <n v="26.55"/>
    <x v="1"/>
    <n v="1"/>
  </r>
  <r>
    <n v="1124"/>
    <x v="0"/>
    <x v="0"/>
    <s v="Wiklund, Mr. Karl Johan"/>
    <x v="0"/>
    <x v="9"/>
    <n v="1"/>
    <n v="0"/>
    <s v="3101266"/>
    <n v="64958"/>
    <x v="1"/>
    <n v="1"/>
  </r>
  <r>
    <n v="1125"/>
    <x v="0"/>
    <x v="0"/>
    <s v="Linehan, Mr. Michael"/>
    <x v="0"/>
    <x v="22"/>
    <n v="0"/>
    <n v="0"/>
    <s v="330971"/>
    <n v="78792"/>
    <x v="0"/>
    <n v="1"/>
  </r>
  <r>
    <n v="1126"/>
    <x v="0"/>
    <x v="2"/>
    <s v="Cumings, Mr. John Bradley"/>
    <x v="0"/>
    <x v="28"/>
    <n v="1"/>
    <n v="0"/>
    <s v="PC 17599"/>
    <n v="21"/>
    <x v="2"/>
    <n v="1"/>
  </r>
  <r>
    <n v="1127"/>
    <x v="0"/>
    <x v="0"/>
    <s v="Vendel, Mr. Olof Edvin"/>
    <x v="0"/>
    <x v="30"/>
    <n v="0"/>
    <n v="0"/>
    <s v="350416"/>
    <n v="78542"/>
    <x v="1"/>
    <n v="1"/>
  </r>
  <r>
    <n v="1128"/>
    <x v="0"/>
    <x v="2"/>
    <s v="Warren, Mr. Frank Manley"/>
    <x v="0"/>
    <x v="57"/>
    <n v="1"/>
    <n v="0"/>
    <s v="110813"/>
    <n v="75.25"/>
    <x v="2"/>
    <n v="1"/>
  </r>
  <r>
    <n v="1129"/>
    <x v="0"/>
    <x v="0"/>
    <s v="Baccos, Mr. Raffull"/>
    <x v="0"/>
    <x v="30"/>
    <n v="0"/>
    <n v="0"/>
    <s v="2679"/>
    <n v="7225"/>
    <x v="2"/>
    <n v="1"/>
  </r>
  <r>
    <n v="1130"/>
    <x v="1"/>
    <x v="1"/>
    <s v="Hiltunen, Miss. Marta"/>
    <x v="1"/>
    <x v="8"/>
    <n v="1"/>
    <n v="1"/>
    <s v="250650"/>
    <n v="13"/>
    <x v="1"/>
    <n v="1"/>
  </r>
  <r>
    <n v="1131"/>
    <x v="1"/>
    <x v="2"/>
    <s v="Douglas, Mrs. Walter Donald (Mahala Dutton)"/>
    <x v="1"/>
    <x v="19"/>
    <n v="1"/>
    <n v="0"/>
    <s v="PC 17761"/>
    <n v="57"/>
    <x v="2"/>
    <n v="1"/>
  </r>
  <r>
    <n v="1132"/>
    <x v="1"/>
    <x v="2"/>
    <s v="Lindstrom, Mrs. Carl Johan (Sigrid Posse)"/>
    <x v="1"/>
    <x v="17"/>
    <n v="0"/>
    <n v="0"/>
    <s v="112377"/>
    <n v="36"/>
    <x v="2"/>
    <n v="1"/>
  </r>
  <r>
    <n v="1133"/>
    <x v="1"/>
    <x v="1"/>
    <s v="Christy, Mrs. (Alice Frances)"/>
    <x v="1"/>
    <x v="16"/>
    <n v="0"/>
    <n v="2"/>
    <s v="237789"/>
    <n v="30"/>
    <x v="1"/>
    <n v="1"/>
  </r>
  <r>
    <n v="1134"/>
    <x v="0"/>
    <x v="2"/>
    <s v="Spedden, Mr. Frederic Oakley"/>
    <x v="0"/>
    <x v="16"/>
    <n v="1"/>
    <n v="1"/>
    <s v="16966"/>
    <n v="134.5"/>
    <x v="2"/>
    <n v="1"/>
  </r>
  <r>
    <n v="1135"/>
    <x v="0"/>
    <x v="0"/>
    <s v="Hyman, Mr. Abraham"/>
    <x v="0"/>
    <x v="16"/>
    <n v="0"/>
    <n v="0"/>
    <s v="3470"/>
    <n v="78875"/>
    <x v="1"/>
    <n v="1"/>
  </r>
  <r>
    <n v="1136"/>
    <x v="0"/>
    <x v="0"/>
    <s v="Johnston, Master. William Arthur Willie&quot;&quot;"/>
    <x v="0"/>
    <x v="26"/>
    <n v="1"/>
    <n v="2"/>
    <s v="W./C. 6607"/>
    <n v="23.45"/>
    <x v="1"/>
    <n v="1"/>
  </r>
  <r>
    <n v="1137"/>
    <x v="0"/>
    <x v="2"/>
    <s v="Kenyon, Mr. Frederick R"/>
    <x v="0"/>
    <x v="10"/>
    <n v="1"/>
    <n v="0"/>
    <s v="17464"/>
    <n v="27"/>
    <x v="1"/>
    <n v="1"/>
  </r>
  <r>
    <n v="1138"/>
    <x v="1"/>
    <x v="1"/>
    <s v="Karnes, Mrs. J Frank (Claire Bennett)"/>
    <x v="1"/>
    <x v="4"/>
    <n v="0"/>
    <n v="0"/>
    <s v="F.C.C. 13534"/>
    <n v="21"/>
    <x v="1"/>
    <n v="1"/>
  </r>
  <r>
    <n v="1139"/>
    <x v="0"/>
    <x v="1"/>
    <s v="Drew, Mr. James Vivian"/>
    <x v="0"/>
    <x v="49"/>
    <n v="1"/>
    <n v="1"/>
    <s v="28220"/>
    <n v="32.5"/>
    <x v="1"/>
    <n v="1"/>
  </r>
  <r>
    <n v="1140"/>
    <x v="1"/>
    <x v="1"/>
    <s v="Hold, Mrs. Stephen (Annie Margaret Hill)"/>
    <x v="1"/>
    <x v="22"/>
    <n v="1"/>
    <n v="0"/>
    <s v="26707"/>
    <n v="26"/>
    <x v="1"/>
    <n v="1"/>
  </r>
  <r>
    <n v="1141"/>
    <x v="1"/>
    <x v="0"/>
    <s v="Khalil, Mrs. Betros (Zahie Maria&quot; Elias)&quot;"/>
    <x v="1"/>
    <x v="35"/>
    <n v="1"/>
    <n v="0"/>
    <s v="2660"/>
    <n v="144542"/>
    <x v="2"/>
    <n v="1"/>
  </r>
  <r>
    <n v="1142"/>
    <x v="1"/>
    <x v="1"/>
    <s v="West, Miss. Barbara J"/>
    <x v="1"/>
    <x v="66"/>
    <n v="1"/>
    <n v="2"/>
    <s v="C.A. 34651"/>
    <n v="27.75"/>
    <x v="1"/>
    <n v="1"/>
  </r>
  <r>
    <n v="1143"/>
    <x v="0"/>
    <x v="0"/>
    <s v="Abrahamsson, Mr. Abraham August Johannes"/>
    <x v="0"/>
    <x v="30"/>
    <n v="0"/>
    <n v="0"/>
    <s v="SOTON/O2 3101284"/>
    <n v="7925"/>
    <x v="1"/>
    <n v="1"/>
  </r>
  <r>
    <n v="1144"/>
    <x v="0"/>
    <x v="2"/>
    <s v="Clark, Mr. Walter Miller"/>
    <x v="0"/>
    <x v="3"/>
    <n v="1"/>
    <n v="0"/>
    <s v="13508"/>
    <n v="37"/>
    <x v="2"/>
    <n v="1"/>
  </r>
  <r>
    <n v="1145"/>
    <x v="0"/>
    <x v="0"/>
    <s v="Salander, Mr. Karl Johan"/>
    <x v="0"/>
    <x v="14"/>
    <n v="0"/>
    <n v="0"/>
    <s v="7266"/>
    <n v="9325"/>
    <x v="1"/>
    <n v="1"/>
  </r>
  <r>
    <n v="1146"/>
    <x v="0"/>
    <x v="0"/>
    <s v="Wenzel, Mr. Linhart"/>
    <x v="0"/>
    <x v="39"/>
    <n v="0"/>
    <n v="0"/>
    <s v="345775"/>
    <n v="9.5"/>
    <x v="1"/>
    <n v="1"/>
  </r>
  <r>
    <n v="1147"/>
    <x v="0"/>
    <x v="0"/>
    <s v="MacKay, Mr. George William"/>
    <x v="0"/>
    <x v="40"/>
    <n v="0"/>
    <n v="0"/>
    <s v="C.A. 42795"/>
    <n v="7.55"/>
    <x v="1"/>
    <n v="1"/>
  </r>
  <r>
    <n v="1148"/>
    <x v="0"/>
    <x v="0"/>
    <s v="Mahon, Mr. John"/>
    <x v="0"/>
    <x v="15"/>
    <n v="0"/>
    <n v="0"/>
    <s v="AQ/4 3130"/>
    <n v="7.75"/>
    <x v="0"/>
    <n v="1"/>
  </r>
  <r>
    <n v="1149"/>
    <x v="0"/>
    <x v="0"/>
    <s v="Niklasson, Mr. Samuel"/>
    <x v="0"/>
    <x v="31"/>
    <n v="0"/>
    <n v="0"/>
    <s v="363611"/>
    <n v="8.0500000000000007"/>
    <x v="1"/>
    <n v="1"/>
  </r>
  <r>
    <n v="1150"/>
    <x v="1"/>
    <x v="1"/>
    <s v="Bentham, Miss. Lilian W"/>
    <x v="1"/>
    <x v="67"/>
    <n v="0"/>
    <n v="0"/>
    <s v="28404"/>
    <n v="13"/>
    <x v="1"/>
    <n v="1"/>
  </r>
  <r>
    <n v="1151"/>
    <x v="0"/>
    <x v="0"/>
    <s v="Midtsjo, Mr. Karl Albert"/>
    <x v="0"/>
    <x v="9"/>
    <n v="0"/>
    <n v="0"/>
    <s v="345501"/>
    <n v="7775"/>
    <x v="1"/>
    <n v="1"/>
  </r>
  <r>
    <n v="1152"/>
    <x v="0"/>
    <x v="0"/>
    <s v="de Messemaeker, Mr. Guillaume Joseph"/>
    <x v="0"/>
    <x v="68"/>
    <n v="1"/>
    <n v="0"/>
    <s v="345572"/>
    <n v="17.399999999999999"/>
    <x v="1"/>
    <n v="1"/>
  </r>
  <r>
    <n v="1153"/>
    <x v="0"/>
    <x v="0"/>
    <s v="Nilsson, Mr. August Ferdinand"/>
    <x v="0"/>
    <x v="9"/>
    <n v="0"/>
    <n v="0"/>
    <s v="350410"/>
    <n v="78542"/>
    <x v="1"/>
    <n v="1"/>
  </r>
  <r>
    <n v="1154"/>
    <x v="1"/>
    <x v="1"/>
    <s v="Wells, Mrs. Arthur Henry (Addie&quot; Dart Trevaskis)&quot;"/>
    <x v="1"/>
    <x v="22"/>
    <n v="0"/>
    <n v="2"/>
    <s v="29103"/>
    <n v="23"/>
    <x v="1"/>
    <n v="1"/>
  </r>
  <r>
    <n v="1155"/>
    <x v="1"/>
    <x v="0"/>
    <s v="Klasen, Miss. Gertrud Emilia"/>
    <x v="1"/>
    <x v="47"/>
    <n v="1"/>
    <n v="1"/>
    <s v="350405"/>
    <n v="121833"/>
    <x v="1"/>
    <n v="1"/>
  </r>
  <r>
    <n v="1156"/>
    <x v="0"/>
    <x v="1"/>
    <s v="Portaluppi, Mr. Emilio Ilario Giuseppe"/>
    <x v="0"/>
    <x v="6"/>
    <n v="0"/>
    <n v="0"/>
    <s v="C.A. 34644"/>
    <n v="127375"/>
    <x v="2"/>
    <n v="1"/>
  </r>
  <r>
    <n v="1157"/>
    <x v="0"/>
    <x v="0"/>
    <s v="Lyntakoff, Mr. Stanko"/>
    <x v="0"/>
    <x v="37"/>
    <n v="0"/>
    <n v="0"/>
    <s v="349235"/>
    <n v="78958"/>
    <x v="1"/>
    <n v="1"/>
  </r>
  <r>
    <n v="1158"/>
    <x v="0"/>
    <x v="2"/>
    <s v="Chisholm, Mr. Roderick Robert Crispin"/>
    <x v="0"/>
    <x v="45"/>
    <n v="0"/>
    <n v="0"/>
    <s v="112051"/>
    <n v="0"/>
    <x v="1"/>
    <n v="1"/>
  </r>
  <r>
    <n v="1159"/>
    <x v="0"/>
    <x v="0"/>
    <s v="Warren, Mr. Charles William"/>
    <x v="0"/>
    <x v="15"/>
    <n v="0"/>
    <n v="0"/>
    <s v="C.A. 49867"/>
    <n v="7.55"/>
    <x v="1"/>
    <n v="1"/>
  </r>
  <r>
    <n v="1160"/>
    <x v="1"/>
    <x v="0"/>
    <s v="Howard, Miss. May Elizabeth"/>
    <x v="1"/>
    <x v="27"/>
    <n v="0"/>
    <n v="0"/>
    <s v="A. 2. 39186"/>
    <n v="8.0500000000000007"/>
    <x v="1"/>
    <n v="1"/>
  </r>
  <r>
    <n v="1161"/>
    <x v="0"/>
    <x v="0"/>
    <s v="Pokrnic, Mr. Mate"/>
    <x v="0"/>
    <x v="34"/>
    <n v="0"/>
    <n v="0"/>
    <s v="315095"/>
    <n v="86625"/>
    <x v="1"/>
    <n v="1"/>
  </r>
  <r>
    <n v="1162"/>
    <x v="0"/>
    <x v="2"/>
    <s v="McCaffry, Mr. Thomas Francis"/>
    <x v="0"/>
    <x v="11"/>
    <n v="0"/>
    <n v="0"/>
    <s v="13050"/>
    <n v="22"/>
    <x v="2"/>
    <n v="1"/>
  </r>
  <r>
    <n v="1163"/>
    <x v="0"/>
    <x v="0"/>
    <s v="Fox, Mr. Patrick"/>
    <x v="0"/>
    <x v="31"/>
    <n v="0"/>
    <n v="0"/>
    <s v="368573"/>
    <n v="7.75"/>
    <x v="0"/>
    <n v="1"/>
  </r>
  <r>
    <n v="1164"/>
    <x v="1"/>
    <x v="2"/>
    <s v="Clark, Mrs. Walter Miller (Virginia McDowell)"/>
    <x v="1"/>
    <x v="7"/>
    <n v="1"/>
    <n v="0"/>
    <s v="13508"/>
    <n v="22"/>
    <x v="2"/>
    <n v="1"/>
  </r>
  <r>
    <n v="1165"/>
    <x v="1"/>
    <x v="0"/>
    <s v="Lennon, Miss. Mary"/>
    <x v="1"/>
    <x v="64"/>
    <n v="1"/>
    <n v="0"/>
    <s v="370371"/>
    <n v="15.5"/>
    <x v="0"/>
    <n v="1"/>
  </r>
  <r>
    <n v="1166"/>
    <x v="0"/>
    <x v="0"/>
    <s v="Saade, Mr. Jean Nassr"/>
    <x v="0"/>
    <x v="4"/>
    <n v="0"/>
    <n v="0"/>
    <s v="2676"/>
    <n v="7225"/>
    <x v="2"/>
    <n v="1"/>
  </r>
  <r>
    <n v="1167"/>
    <x v="1"/>
    <x v="1"/>
    <s v="Bryhl, Miss. Dagmar Jenny Ingeborg "/>
    <x v="1"/>
    <x v="30"/>
    <n v="1"/>
    <n v="0"/>
    <s v="236853"/>
    <n v="26"/>
    <x v="1"/>
    <n v="1"/>
  </r>
  <r>
    <n v="1168"/>
    <x v="0"/>
    <x v="1"/>
    <s v="Parker, Mr. Clifford Richard"/>
    <x v="0"/>
    <x v="31"/>
    <n v="0"/>
    <n v="0"/>
    <s v="SC 14888"/>
    <n v="10.5"/>
    <x v="1"/>
    <n v="1"/>
  </r>
  <r>
    <n v="1169"/>
    <x v="0"/>
    <x v="1"/>
    <s v="Faunthorpe, Mr. Harry"/>
    <x v="0"/>
    <x v="27"/>
    <n v="1"/>
    <n v="0"/>
    <s v="2926"/>
    <n v="26"/>
    <x v="1"/>
    <n v="1"/>
  </r>
  <r>
    <n v="1170"/>
    <x v="0"/>
    <x v="1"/>
    <s v="Ware, Mr. John James"/>
    <x v="0"/>
    <x v="6"/>
    <n v="1"/>
    <n v="0"/>
    <s v="CA 31352"/>
    <n v="21"/>
    <x v="1"/>
    <n v="1"/>
  </r>
  <r>
    <n v="1171"/>
    <x v="0"/>
    <x v="1"/>
    <s v="Oxenham, Mr. Percy Thomas"/>
    <x v="0"/>
    <x v="4"/>
    <n v="0"/>
    <n v="0"/>
    <s v="W./C. 14260"/>
    <n v="10.5"/>
    <x v="1"/>
    <n v="1"/>
  </r>
  <r>
    <n v="1172"/>
    <x v="1"/>
    <x v="0"/>
    <s v="Oreskovic, Miss. Jelka"/>
    <x v="1"/>
    <x v="12"/>
    <n v="0"/>
    <n v="0"/>
    <s v="315085"/>
    <n v="86625"/>
    <x v="1"/>
    <n v="1"/>
  </r>
  <r>
    <n v="1173"/>
    <x v="0"/>
    <x v="0"/>
    <s v="Peacock, Master. Alfred Edward"/>
    <x v="0"/>
    <x v="69"/>
    <n v="1"/>
    <n v="1"/>
    <s v="SOTON/O.Q. 3101315"/>
    <n v="13775"/>
    <x v="1"/>
    <n v="1"/>
  </r>
  <r>
    <n v="1174"/>
    <x v="1"/>
    <x v="0"/>
    <s v="Fleming, Miss. Honora"/>
    <x v="1"/>
    <x v="62"/>
    <n v="0"/>
    <n v="0"/>
    <s v="364859"/>
    <n v="7.75"/>
    <x v="0"/>
    <n v="1"/>
  </r>
  <r>
    <n v="1175"/>
    <x v="1"/>
    <x v="0"/>
    <s v="Touma, Miss. Maria Youssef"/>
    <x v="1"/>
    <x v="18"/>
    <n v="1"/>
    <n v="1"/>
    <s v="2650"/>
    <n v="152458"/>
    <x v="2"/>
    <n v="1"/>
  </r>
  <r>
    <n v="1176"/>
    <x v="1"/>
    <x v="0"/>
    <s v="Rosblom, Miss. Salli Helena"/>
    <x v="1"/>
    <x v="43"/>
    <n v="1"/>
    <n v="1"/>
    <s v="370129"/>
    <n v="202125"/>
    <x v="1"/>
    <n v="1"/>
  </r>
  <r>
    <n v="1177"/>
    <x v="0"/>
    <x v="0"/>
    <s v="Dennis, Mr. William"/>
    <x v="0"/>
    <x v="24"/>
    <n v="0"/>
    <n v="0"/>
    <s v="A/5 21175"/>
    <n v="7.25"/>
    <x v="1"/>
    <n v="1"/>
  </r>
  <r>
    <n v="1178"/>
    <x v="0"/>
    <x v="0"/>
    <s v="Franklin, Mr. Charles (Charles Fardon)"/>
    <x v="0"/>
    <x v="11"/>
    <n v="0"/>
    <n v="0"/>
    <s v="SOTON/O.Q. 3101314"/>
    <n v="7.25"/>
    <x v="1"/>
    <n v="1"/>
  </r>
  <r>
    <n v="1179"/>
    <x v="0"/>
    <x v="2"/>
    <s v="Snyder, Mr. John Pillsbury"/>
    <x v="0"/>
    <x v="14"/>
    <n v="1"/>
    <n v="0"/>
    <s v="21228"/>
    <n v="23"/>
    <x v="1"/>
    <n v="1"/>
  </r>
  <r>
    <n v="1180"/>
    <x v="0"/>
    <x v="0"/>
    <s v="Mardirosian, Mr. Sarkis"/>
    <x v="0"/>
    <x v="35"/>
    <n v="0"/>
    <n v="0"/>
    <s v="2655"/>
    <n v="72292"/>
    <x v="2"/>
    <n v="1"/>
  </r>
  <r>
    <n v="1181"/>
    <x v="0"/>
    <x v="0"/>
    <s v="Ford, Mr. Arthur"/>
    <x v="0"/>
    <x v="28"/>
    <n v="0"/>
    <n v="0"/>
    <s v="A/5 1478"/>
    <n v="8.0500000000000007"/>
    <x v="1"/>
    <n v="1"/>
  </r>
  <r>
    <n v="1182"/>
    <x v="0"/>
    <x v="2"/>
    <s v="Rheims, Mr. George Alexander Lucien"/>
    <x v="0"/>
    <x v="49"/>
    <n v="0"/>
    <n v="0"/>
    <s v="PC 17607"/>
    <n v="39.6"/>
    <x v="1"/>
    <n v="1"/>
  </r>
  <r>
    <n v="1183"/>
    <x v="1"/>
    <x v="0"/>
    <s v="Daly, Miss. Margaret Marcella Maggie&quot;&quot;"/>
    <x v="1"/>
    <x v="6"/>
    <n v="0"/>
    <n v="0"/>
    <s v="382650"/>
    <n v="6.95"/>
    <x v="0"/>
    <n v="1"/>
  </r>
  <r>
    <n v="1184"/>
    <x v="0"/>
    <x v="0"/>
    <s v="Nasr, Mr. Mustafa"/>
    <x v="0"/>
    <x v="20"/>
    <n v="0"/>
    <n v="0"/>
    <s v="2652"/>
    <n v="72292"/>
    <x v="2"/>
    <n v="1"/>
  </r>
  <r>
    <n v="1185"/>
    <x v="0"/>
    <x v="2"/>
    <s v="Dodge, Dr. Washington"/>
    <x v="0"/>
    <x v="50"/>
    <n v="1"/>
    <n v="1"/>
    <s v="33638"/>
    <n v="25"/>
    <x v="1"/>
    <n v="1"/>
  </r>
  <r>
    <n v="1186"/>
    <x v="0"/>
    <x v="0"/>
    <s v="Wittevrongel, Mr. Camille"/>
    <x v="0"/>
    <x v="24"/>
    <n v="0"/>
    <n v="0"/>
    <s v="345771"/>
    <n v="9.5"/>
    <x v="1"/>
    <n v="1"/>
  </r>
  <r>
    <n v="1187"/>
    <x v="0"/>
    <x v="0"/>
    <s v="Angheloff, Mr. Minko"/>
    <x v="0"/>
    <x v="7"/>
    <n v="0"/>
    <n v="0"/>
    <s v="349202"/>
    <n v="78958"/>
    <x v="1"/>
    <n v="1"/>
  </r>
  <r>
    <n v="1188"/>
    <x v="1"/>
    <x v="1"/>
    <s v="Laroche, Miss. Louise"/>
    <x v="1"/>
    <x v="47"/>
    <n v="1"/>
    <n v="2"/>
    <s v="SC/Paris 2123"/>
    <n v="415792"/>
    <x v="2"/>
    <n v="1"/>
  </r>
  <r>
    <n v="1189"/>
    <x v="0"/>
    <x v="0"/>
    <s v="Samaan, Mr. Hanna"/>
    <x v="0"/>
    <x v="26"/>
    <n v="2"/>
    <n v="0"/>
    <s v="2662"/>
    <n v="216792"/>
    <x v="2"/>
    <n v="1"/>
  </r>
  <r>
    <n v="1190"/>
    <x v="0"/>
    <x v="2"/>
    <s v="Loring, Mr. Joseph Holland"/>
    <x v="0"/>
    <x v="6"/>
    <n v="0"/>
    <n v="0"/>
    <s v="113801"/>
    <n v="45.5"/>
    <x v="1"/>
    <n v="1"/>
  </r>
  <r>
    <n v="1191"/>
    <x v="0"/>
    <x v="0"/>
    <s v="Johansson, Mr. Nils"/>
    <x v="0"/>
    <x v="22"/>
    <n v="0"/>
    <n v="0"/>
    <s v="347467"/>
    <n v="78542"/>
    <x v="1"/>
    <n v="1"/>
  </r>
  <r>
    <n v="1192"/>
    <x v="0"/>
    <x v="0"/>
    <s v="Olsson, Mr. Oscar Wilhelm"/>
    <x v="0"/>
    <x v="35"/>
    <n v="0"/>
    <n v="0"/>
    <s v="347079"/>
    <n v="7775"/>
    <x v="1"/>
    <n v="1"/>
  </r>
  <r>
    <n v="1193"/>
    <x v="0"/>
    <x v="1"/>
    <s v="Malachard, Mr. Noel"/>
    <x v="0"/>
    <x v="12"/>
    <n v="0"/>
    <n v="0"/>
    <s v="237735"/>
    <n v="150458"/>
    <x v="2"/>
    <n v="1"/>
  </r>
  <r>
    <n v="1194"/>
    <x v="0"/>
    <x v="1"/>
    <s v="Phillips, Mr. Escott Robert"/>
    <x v="0"/>
    <x v="45"/>
    <n v="0"/>
    <n v="1"/>
    <s v="S.O./P.P. 2"/>
    <n v="21"/>
    <x v="1"/>
    <n v="1"/>
  </r>
  <r>
    <n v="1195"/>
    <x v="0"/>
    <x v="0"/>
    <s v="Pokrnic, Mr. Tome"/>
    <x v="0"/>
    <x v="14"/>
    <n v="0"/>
    <n v="0"/>
    <s v="315092"/>
    <n v="86625"/>
    <x v="1"/>
    <n v="1"/>
  </r>
  <r>
    <n v="1196"/>
    <x v="1"/>
    <x v="0"/>
    <s v="McCarthy, Miss. Catherine Katie&quot;&quot;"/>
    <x v="1"/>
    <x v="62"/>
    <n v="0"/>
    <n v="0"/>
    <s v="383123"/>
    <n v="7.75"/>
    <x v="0"/>
    <n v="1"/>
  </r>
  <r>
    <n v="1197"/>
    <x v="1"/>
    <x v="2"/>
    <s v="Crosby, Mrs. Edward Gifford (Catherine Elizabeth Halstead)"/>
    <x v="1"/>
    <x v="57"/>
    <n v="1"/>
    <n v="1"/>
    <s v="112901"/>
    <n v="26.55"/>
    <x v="1"/>
    <n v="1"/>
  </r>
  <r>
    <n v="1198"/>
    <x v="0"/>
    <x v="2"/>
    <s v="Allison, Mr. Hudson Joshua Creighton"/>
    <x v="0"/>
    <x v="6"/>
    <n v="1"/>
    <n v="2"/>
    <s v="113781"/>
    <n v="151.55000000000001"/>
    <x v="1"/>
    <n v="1"/>
  </r>
  <r>
    <n v="1199"/>
    <x v="0"/>
    <x v="0"/>
    <s v="Aks, Master. Philip Frank"/>
    <x v="0"/>
    <x v="70"/>
    <n v="0"/>
    <n v="1"/>
    <s v="392091"/>
    <n v="9.35"/>
    <x v="1"/>
    <n v="1"/>
  </r>
  <r>
    <n v="1200"/>
    <x v="0"/>
    <x v="2"/>
    <s v="Hays, Mr. Charles Melville"/>
    <x v="0"/>
    <x v="17"/>
    <n v="1"/>
    <n v="1"/>
    <s v="12749"/>
    <n v="93.5"/>
    <x v="1"/>
    <n v="1"/>
  </r>
  <r>
    <n v="1201"/>
    <x v="1"/>
    <x v="0"/>
    <s v="Hansen, Mrs. Claus Peter (Jennie L Howard)"/>
    <x v="1"/>
    <x v="16"/>
    <n v="1"/>
    <n v="0"/>
    <s v="350026"/>
    <n v="141083"/>
    <x v="1"/>
    <n v="1"/>
  </r>
  <r>
    <n v="1202"/>
    <x v="0"/>
    <x v="0"/>
    <s v="Cacic, Mr. Jego Grga"/>
    <x v="0"/>
    <x v="8"/>
    <n v="0"/>
    <n v="0"/>
    <s v="315091"/>
    <n v="86625"/>
    <x v="1"/>
    <n v="1"/>
  </r>
  <r>
    <n v="1203"/>
    <x v="0"/>
    <x v="0"/>
    <s v="Vartanian, Mr. David"/>
    <x v="0"/>
    <x v="4"/>
    <n v="0"/>
    <n v="0"/>
    <s v="2658"/>
    <n v="7225"/>
    <x v="2"/>
    <n v="1"/>
  </r>
  <r>
    <n v="1204"/>
    <x v="0"/>
    <x v="0"/>
    <s v="Sadowitz, Mr. Harry"/>
    <x v="0"/>
    <x v="64"/>
    <n v="0"/>
    <n v="0"/>
    <s v="LP 1588"/>
    <n v="7575"/>
    <x v="1"/>
    <n v="1"/>
  </r>
  <r>
    <n v="1205"/>
    <x v="1"/>
    <x v="0"/>
    <s v="Carr, Miss. Jeannie"/>
    <x v="1"/>
    <x v="33"/>
    <n v="0"/>
    <n v="0"/>
    <s v="368364"/>
    <n v="7.75"/>
    <x v="0"/>
    <n v="1"/>
  </r>
  <r>
    <n v="1206"/>
    <x v="1"/>
    <x v="2"/>
    <s v="White, Mrs. John Stuart (Ella Holmes)"/>
    <x v="1"/>
    <x v="17"/>
    <n v="0"/>
    <n v="0"/>
    <s v="PC 17760"/>
    <n v="32"/>
    <x v="2"/>
    <n v="1"/>
  </r>
  <r>
    <n v="1207"/>
    <x v="1"/>
    <x v="0"/>
    <s v="Hagardon, Miss. Kate"/>
    <x v="1"/>
    <x v="34"/>
    <n v="0"/>
    <n v="0"/>
    <s v="AQ/3. 30631"/>
    <n v="77333"/>
    <x v="0"/>
    <n v="1"/>
  </r>
  <r>
    <n v="1208"/>
    <x v="0"/>
    <x v="2"/>
    <s v="Spencer, Mr. William Augustus"/>
    <x v="0"/>
    <x v="63"/>
    <n v="1"/>
    <n v="0"/>
    <s v="PC 17569"/>
    <n v="35"/>
    <x v="2"/>
    <n v="1"/>
  </r>
  <r>
    <n v="1209"/>
    <x v="0"/>
    <x v="1"/>
    <s v="Rogers, Mr. Reginald Harry"/>
    <x v="0"/>
    <x v="67"/>
    <n v="0"/>
    <n v="0"/>
    <s v="28004"/>
    <n v="10.5"/>
    <x v="1"/>
    <n v="1"/>
  </r>
  <r>
    <n v="1210"/>
    <x v="0"/>
    <x v="0"/>
    <s v="Jonsson, Mr. Nils Hilding"/>
    <x v="0"/>
    <x v="3"/>
    <n v="0"/>
    <n v="0"/>
    <s v="350408"/>
    <n v="78542"/>
    <x v="1"/>
    <n v="1"/>
  </r>
  <r>
    <n v="1211"/>
    <x v="0"/>
    <x v="1"/>
    <s v="Jefferys, Mr. Ernest Wilfred"/>
    <x v="0"/>
    <x v="4"/>
    <n v="2"/>
    <n v="0"/>
    <s v="C.A. 31029"/>
    <n v="31.5"/>
    <x v="1"/>
    <n v="1"/>
  </r>
  <r>
    <n v="1212"/>
    <x v="0"/>
    <x v="0"/>
    <s v="Andersson, Mr. Johan Samuel"/>
    <x v="0"/>
    <x v="7"/>
    <n v="0"/>
    <n v="0"/>
    <s v="347075"/>
    <n v="7775"/>
    <x v="1"/>
    <n v="1"/>
  </r>
  <r>
    <n v="1213"/>
    <x v="0"/>
    <x v="0"/>
    <s v="Krekorian, Mr. Neshan"/>
    <x v="0"/>
    <x v="26"/>
    <n v="0"/>
    <n v="0"/>
    <s v="2654"/>
    <n v="72292"/>
    <x v="2"/>
    <n v="1"/>
  </r>
  <r>
    <n v="1214"/>
    <x v="0"/>
    <x v="1"/>
    <s v="Nesson, Mr. Israel"/>
    <x v="0"/>
    <x v="7"/>
    <n v="0"/>
    <n v="0"/>
    <s v="244368"/>
    <n v="13"/>
    <x v="1"/>
    <n v="1"/>
  </r>
  <r>
    <n v="1215"/>
    <x v="0"/>
    <x v="2"/>
    <s v="Rowe, Mr. Alfred G"/>
    <x v="0"/>
    <x v="23"/>
    <n v="0"/>
    <n v="0"/>
    <s v="113790"/>
    <n v="26.55"/>
    <x v="1"/>
    <n v="1"/>
  </r>
  <r>
    <n v="1216"/>
    <x v="1"/>
    <x v="2"/>
    <s v="Kreuchen, Miss. Emilie"/>
    <x v="1"/>
    <x v="28"/>
    <n v="0"/>
    <n v="0"/>
    <s v="24160"/>
    <n v="24"/>
    <x v="1"/>
    <n v="1"/>
  </r>
  <r>
    <n v="1217"/>
    <x v="0"/>
    <x v="0"/>
    <s v="Assam, Mr. Ali"/>
    <x v="0"/>
    <x v="12"/>
    <n v="0"/>
    <n v="0"/>
    <s v="SOTON/O.Q. 3101309"/>
    <n v="7.05"/>
    <x v="1"/>
    <n v="1"/>
  </r>
  <r>
    <n v="1218"/>
    <x v="1"/>
    <x v="1"/>
    <s v="Becker, Miss. Ruth Elizabeth"/>
    <x v="1"/>
    <x v="48"/>
    <n v="2"/>
    <n v="1"/>
    <s v="230136"/>
    <n v="39"/>
    <x v="1"/>
    <n v="1"/>
  </r>
  <r>
    <n v="1219"/>
    <x v="0"/>
    <x v="2"/>
    <s v="Rosenshine, Mr. George (Mr George Thorne&quot;)&quot;"/>
    <x v="0"/>
    <x v="11"/>
    <n v="0"/>
    <n v="0"/>
    <s v="PC 17585"/>
    <n v="79.2"/>
    <x v="2"/>
    <n v="1"/>
  </r>
  <r>
    <n v="1220"/>
    <x v="0"/>
    <x v="1"/>
    <s v="Clarke, Mr. Charles Valentine"/>
    <x v="0"/>
    <x v="22"/>
    <n v="1"/>
    <n v="0"/>
    <s v="2003"/>
    <n v="26"/>
    <x v="1"/>
    <n v="1"/>
  </r>
  <r>
    <n v="1221"/>
    <x v="0"/>
    <x v="1"/>
    <s v="Enander, Mr. Ingvar"/>
    <x v="0"/>
    <x v="9"/>
    <n v="0"/>
    <n v="0"/>
    <s v="236854"/>
    <n v="13"/>
    <x v="1"/>
    <n v="1"/>
  </r>
  <r>
    <n v="1222"/>
    <x v="1"/>
    <x v="1"/>
    <s v="Davies, Mrs. John Morgan (Elizabeth Agnes Mary White) "/>
    <x v="1"/>
    <x v="19"/>
    <n v="0"/>
    <n v="2"/>
    <s v="C.A. 33112"/>
    <n v="36.75"/>
    <x v="1"/>
    <n v="1"/>
  </r>
  <r>
    <n v="1223"/>
    <x v="0"/>
    <x v="2"/>
    <s v="Dulles, Mr. William Crothers"/>
    <x v="0"/>
    <x v="28"/>
    <n v="0"/>
    <n v="0"/>
    <s v="PC 17580"/>
    <n v="29.7"/>
    <x v="2"/>
    <n v="1"/>
  </r>
  <r>
    <n v="1224"/>
    <x v="0"/>
    <x v="0"/>
    <s v="Thomas, Mr. Tannous"/>
    <x v="0"/>
    <x v="30"/>
    <n v="0"/>
    <n v="0"/>
    <s v="2684"/>
    <n v="7225"/>
    <x v="2"/>
    <n v="1"/>
  </r>
  <r>
    <n v="1225"/>
    <x v="1"/>
    <x v="0"/>
    <s v="Nakid, Mrs. Said (Waika Mary&quot; Mowad)&quot;"/>
    <x v="1"/>
    <x v="67"/>
    <n v="1"/>
    <n v="1"/>
    <s v="2653"/>
    <n v="157417"/>
    <x v="2"/>
    <n v="1"/>
  </r>
  <r>
    <n v="1226"/>
    <x v="0"/>
    <x v="0"/>
    <s v="Cor, Mr. Ivan"/>
    <x v="0"/>
    <x v="3"/>
    <n v="0"/>
    <n v="0"/>
    <s v="349229"/>
    <n v="78958"/>
    <x v="1"/>
    <n v="1"/>
  </r>
  <r>
    <n v="1227"/>
    <x v="0"/>
    <x v="2"/>
    <s v="Maguire, Mr. John Edward"/>
    <x v="0"/>
    <x v="6"/>
    <n v="0"/>
    <n v="0"/>
    <s v="110469"/>
    <n v="26"/>
    <x v="1"/>
    <n v="1"/>
  </r>
  <r>
    <n v="1228"/>
    <x v="0"/>
    <x v="1"/>
    <s v="de Brito, Mr. Jose Joaquim"/>
    <x v="0"/>
    <x v="35"/>
    <n v="0"/>
    <n v="0"/>
    <s v="244360"/>
    <n v="13"/>
    <x v="1"/>
    <n v="1"/>
  </r>
  <r>
    <n v="1229"/>
    <x v="0"/>
    <x v="0"/>
    <s v="Elias, Mr. Joseph"/>
    <x v="0"/>
    <x v="28"/>
    <n v="0"/>
    <n v="2"/>
    <s v="2675"/>
    <n v="72292"/>
    <x v="2"/>
    <n v="1"/>
  </r>
  <r>
    <n v="1230"/>
    <x v="0"/>
    <x v="1"/>
    <s v="Denbury, Mr. Herbert"/>
    <x v="0"/>
    <x v="26"/>
    <n v="0"/>
    <n v="0"/>
    <s v="C.A. 31029"/>
    <n v="31.5"/>
    <x v="1"/>
    <n v="1"/>
  </r>
  <r>
    <n v="1231"/>
    <x v="0"/>
    <x v="0"/>
    <s v="Betros, Master. Seman"/>
    <x v="0"/>
    <x v="33"/>
    <n v="0"/>
    <n v="0"/>
    <s v="2622"/>
    <n v="72292"/>
    <x v="2"/>
    <n v="1"/>
  </r>
  <r>
    <n v="1232"/>
    <x v="0"/>
    <x v="1"/>
    <s v="Fillbrook, Mr. Joseph Charles"/>
    <x v="0"/>
    <x v="8"/>
    <n v="0"/>
    <n v="0"/>
    <s v="C.A. 15185"/>
    <n v="10.5"/>
    <x v="1"/>
    <n v="1"/>
  </r>
  <r>
    <n v="1233"/>
    <x v="0"/>
    <x v="0"/>
    <s v="Lundstrom, Mr. Thure Edvin"/>
    <x v="0"/>
    <x v="35"/>
    <n v="0"/>
    <n v="0"/>
    <s v="350403"/>
    <n v="75792"/>
    <x v="1"/>
    <n v="1"/>
  </r>
  <r>
    <n v="1234"/>
    <x v="0"/>
    <x v="0"/>
    <s v="Sage, Mr. John George"/>
    <x v="0"/>
    <x v="35"/>
    <n v="1"/>
    <n v="9"/>
    <s v="CA. 2343"/>
    <n v="69.55"/>
    <x v="1"/>
    <n v="1"/>
  </r>
  <r>
    <n v="1235"/>
    <x v="1"/>
    <x v="2"/>
    <s v="Cardeza, Mrs. James Warburton Martinez (Charlotte Wardle Drake)"/>
    <x v="1"/>
    <x v="71"/>
    <n v="0"/>
    <n v="1"/>
    <s v="PC 17755"/>
    <n v="32"/>
    <x v="2"/>
    <n v="1"/>
  </r>
  <r>
    <n v="1236"/>
    <x v="0"/>
    <x v="0"/>
    <s v="van Billiard, Master. James William"/>
    <x v="0"/>
    <x v="19"/>
    <n v="1"/>
    <n v="1"/>
    <s v="A/5. 851"/>
    <n v="14.5"/>
    <x v="1"/>
    <n v="1"/>
  </r>
  <r>
    <n v="1237"/>
    <x v="1"/>
    <x v="0"/>
    <s v="Abelseth, Miss. Karen Marie"/>
    <x v="1"/>
    <x v="46"/>
    <n v="0"/>
    <n v="0"/>
    <s v="348125"/>
    <n v="7.65"/>
    <x v="1"/>
    <n v="1"/>
  </r>
  <r>
    <n v="1238"/>
    <x v="0"/>
    <x v="1"/>
    <s v="Botsford, Mr. William Hull"/>
    <x v="0"/>
    <x v="7"/>
    <n v="0"/>
    <n v="0"/>
    <s v="237670"/>
    <n v="13"/>
    <x v="1"/>
    <n v="1"/>
  </r>
  <r>
    <n v="1239"/>
    <x v="1"/>
    <x v="0"/>
    <s v="Whabee, Mrs. George Joseph (Shawneene Abi-Saab)"/>
    <x v="1"/>
    <x v="62"/>
    <n v="0"/>
    <n v="0"/>
    <s v="2688"/>
    <n v="72292"/>
    <x v="2"/>
    <n v="1"/>
  </r>
  <r>
    <n v="1240"/>
    <x v="0"/>
    <x v="1"/>
    <s v="Giles, Mr. Ralph"/>
    <x v="0"/>
    <x v="14"/>
    <n v="0"/>
    <n v="0"/>
    <s v="248726"/>
    <n v="13.5"/>
    <x v="1"/>
    <n v="1"/>
  </r>
  <r>
    <n v="1241"/>
    <x v="1"/>
    <x v="1"/>
    <s v="Walcroft, Miss. Nellie"/>
    <x v="1"/>
    <x v="37"/>
    <n v="0"/>
    <n v="0"/>
    <s v="F.C.C. 13528"/>
    <n v="21"/>
    <x v="1"/>
    <n v="1"/>
  </r>
  <r>
    <n v="1242"/>
    <x v="1"/>
    <x v="2"/>
    <s v="Greenfield, Mrs. Leo David (Blanche Strouse)"/>
    <x v="1"/>
    <x v="16"/>
    <n v="0"/>
    <n v="1"/>
    <s v="PC 17759"/>
    <n v="24"/>
    <x v="2"/>
    <n v="1"/>
  </r>
  <r>
    <n v="1243"/>
    <x v="0"/>
    <x v="1"/>
    <s v="Stokes, Mr. Philip Joseph"/>
    <x v="0"/>
    <x v="26"/>
    <n v="0"/>
    <n v="0"/>
    <s v="F.C.C. 13540"/>
    <n v="10.5"/>
    <x v="1"/>
    <n v="1"/>
  </r>
  <r>
    <n v="1244"/>
    <x v="0"/>
    <x v="1"/>
    <s v="Dibden, Mr. William"/>
    <x v="0"/>
    <x v="8"/>
    <n v="0"/>
    <n v="0"/>
    <s v="S.O.C. 14879"/>
    <n v="73.5"/>
    <x v="1"/>
    <n v="1"/>
  </r>
  <r>
    <n v="1245"/>
    <x v="0"/>
    <x v="1"/>
    <s v="Herman, Mr. Samuel"/>
    <x v="0"/>
    <x v="40"/>
    <n v="1"/>
    <n v="2"/>
    <s v="220845"/>
    <n v="65"/>
    <x v="1"/>
    <n v="1"/>
  </r>
  <r>
    <n v="1246"/>
    <x v="1"/>
    <x v="0"/>
    <s v="Dean, Miss. Elizabeth Gladys Millvina&quot;&quot;"/>
    <x v="1"/>
    <x v="72"/>
    <n v="1"/>
    <n v="2"/>
    <s v="C.A. 2315"/>
    <n v="20575"/>
    <x v="1"/>
    <n v="1"/>
  </r>
  <r>
    <n v="1247"/>
    <x v="0"/>
    <x v="2"/>
    <s v="Julian, Mr. Henry Forbes"/>
    <x v="0"/>
    <x v="20"/>
    <n v="0"/>
    <n v="0"/>
    <s v="113044"/>
    <n v="26"/>
    <x v="1"/>
    <n v="1"/>
  </r>
  <r>
    <n v="1248"/>
    <x v="1"/>
    <x v="2"/>
    <s v="Brown, Mrs. John Murray (Caroline Lane Lamson)"/>
    <x v="1"/>
    <x v="73"/>
    <n v="2"/>
    <n v="0"/>
    <s v="11769"/>
    <n v="60"/>
    <x v="1"/>
    <n v="1"/>
  </r>
  <r>
    <n v="1249"/>
    <x v="0"/>
    <x v="0"/>
    <s v="Lockyer, Mr. Edward"/>
    <x v="0"/>
    <x v="35"/>
    <n v="0"/>
    <n v="0"/>
    <s v="1222"/>
    <n v="78792"/>
    <x v="1"/>
    <n v="1"/>
  </r>
  <r>
    <n v="1250"/>
    <x v="0"/>
    <x v="0"/>
    <s v="O'Keefe, Mr. Patrick"/>
    <x v="0"/>
    <x v="49"/>
    <n v="0"/>
    <n v="0"/>
    <s v="368402"/>
    <n v="7.75"/>
    <x v="0"/>
    <n v="1"/>
  </r>
  <r>
    <n v="1251"/>
    <x v="1"/>
    <x v="0"/>
    <s v="Lindell, Mrs. Edvard Bengtsson (Elin Gerda Persson)"/>
    <x v="1"/>
    <x v="6"/>
    <n v="1"/>
    <n v="0"/>
    <s v="349910"/>
    <n v="15.55"/>
    <x v="1"/>
    <n v="1"/>
  </r>
  <r>
    <n v="1252"/>
    <x v="0"/>
    <x v="0"/>
    <s v="Sage, Master. William Henry"/>
    <x v="0"/>
    <x v="74"/>
    <n v="8"/>
    <n v="2"/>
    <s v="CA. 2343"/>
    <n v="69.55"/>
    <x v="1"/>
    <n v="1"/>
  </r>
  <r>
    <n v="1253"/>
    <x v="1"/>
    <x v="1"/>
    <s v="Mallet, Mrs. Albert (Antoinette Magnin)"/>
    <x v="1"/>
    <x v="14"/>
    <n v="1"/>
    <n v="1"/>
    <s v="S.C./PARIS 2079"/>
    <n v="370042"/>
    <x v="2"/>
    <n v="1"/>
  </r>
  <r>
    <n v="1254"/>
    <x v="1"/>
    <x v="1"/>
    <s v="Ware, Mrs. John James (Florence Louise Long)"/>
    <x v="1"/>
    <x v="37"/>
    <n v="0"/>
    <n v="0"/>
    <s v="CA 31352"/>
    <n v="21"/>
    <x v="1"/>
    <n v="1"/>
  </r>
  <r>
    <n v="1255"/>
    <x v="0"/>
    <x v="0"/>
    <s v="Strilic, Mr. Ivan"/>
    <x v="0"/>
    <x v="3"/>
    <n v="0"/>
    <n v="0"/>
    <s v="315083"/>
    <n v="86625"/>
    <x v="1"/>
    <n v="1"/>
  </r>
  <r>
    <n v="1256"/>
    <x v="1"/>
    <x v="2"/>
    <s v="Harder, Mrs. George Achilles (Dorothy Annan)"/>
    <x v="1"/>
    <x v="26"/>
    <n v="1"/>
    <n v="0"/>
    <s v="11765"/>
    <n v="36"/>
    <x v="2"/>
    <n v="1"/>
  </r>
  <r>
    <n v="1257"/>
    <x v="1"/>
    <x v="0"/>
    <s v="Sage, Mrs. John (Annie Bullen)"/>
    <x v="1"/>
    <x v="40"/>
    <n v="1"/>
    <n v="9"/>
    <s v="CA. 2343"/>
    <n v="69.55"/>
    <x v="1"/>
    <n v="1"/>
  </r>
  <r>
    <n v="1258"/>
    <x v="0"/>
    <x v="0"/>
    <s v="Caram, Mr. Joseph"/>
    <x v="0"/>
    <x v="7"/>
    <n v="1"/>
    <n v="0"/>
    <s v="2689"/>
    <n v="144583"/>
    <x v="2"/>
    <n v="1"/>
  </r>
  <r>
    <n v="1259"/>
    <x v="1"/>
    <x v="0"/>
    <s v="Riihivouri, Miss. Susanna Juhantytar Sanni&quot;&quot;"/>
    <x v="1"/>
    <x v="4"/>
    <n v="0"/>
    <n v="0"/>
    <s v="3101295"/>
    <n v="396875"/>
    <x v="1"/>
    <n v="1"/>
  </r>
  <r>
    <n v="1260"/>
    <x v="1"/>
    <x v="2"/>
    <s v="Gibson, Mrs. Leonard (Pauline C Boeson)"/>
    <x v="1"/>
    <x v="16"/>
    <n v="0"/>
    <n v="1"/>
    <s v="112378"/>
    <n v="59.4"/>
    <x v="2"/>
    <n v="1"/>
  </r>
  <r>
    <n v="1261"/>
    <x v="0"/>
    <x v="1"/>
    <s v="Pallas y Castello, Mr. Emilio"/>
    <x v="0"/>
    <x v="22"/>
    <n v="0"/>
    <n v="0"/>
    <s v="SC/PARIS 2147"/>
    <n v="138583"/>
    <x v="2"/>
    <n v="1"/>
  </r>
  <r>
    <n v="1262"/>
    <x v="0"/>
    <x v="1"/>
    <s v="Giles, Mr. Edgar"/>
    <x v="0"/>
    <x v="9"/>
    <n v="1"/>
    <n v="0"/>
    <s v="28133"/>
    <n v="11.5"/>
    <x v="1"/>
    <n v="1"/>
  </r>
  <r>
    <n v="1263"/>
    <x v="1"/>
    <x v="2"/>
    <s v="Wilson, Miss. Helen Alice"/>
    <x v="1"/>
    <x v="37"/>
    <n v="0"/>
    <n v="0"/>
    <s v="16966"/>
    <n v="134.5"/>
    <x v="2"/>
    <n v="1"/>
  </r>
  <r>
    <n v="1264"/>
    <x v="0"/>
    <x v="2"/>
    <s v="Ismay, Mr. Joseph Bruce"/>
    <x v="0"/>
    <x v="40"/>
    <n v="0"/>
    <n v="0"/>
    <s v="112058"/>
    <n v="0"/>
    <x v="1"/>
    <n v="1"/>
  </r>
  <r>
    <n v="1265"/>
    <x v="0"/>
    <x v="1"/>
    <s v="Harbeck, Mr. William H"/>
    <x v="0"/>
    <x v="64"/>
    <n v="0"/>
    <n v="0"/>
    <s v="248746"/>
    <n v="13"/>
    <x v="1"/>
    <n v="1"/>
  </r>
  <r>
    <n v="1266"/>
    <x v="1"/>
    <x v="2"/>
    <s v="Dodge, Mrs. Washington (Ruth Vidaver)"/>
    <x v="1"/>
    <x v="56"/>
    <n v="1"/>
    <n v="1"/>
    <s v="33638"/>
    <n v="37"/>
    <x v="1"/>
    <n v="1"/>
  </r>
  <r>
    <n v="1267"/>
    <x v="1"/>
    <x v="2"/>
    <s v="Bowen, Miss. Grace Scott"/>
    <x v="1"/>
    <x v="16"/>
    <n v="0"/>
    <n v="0"/>
    <s v="PC 17608"/>
    <n v="50"/>
    <x v="2"/>
    <n v="1"/>
  </r>
  <r>
    <n v="1268"/>
    <x v="1"/>
    <x v="0"/>
    <s v="Kink, Miss. Maria"/>
    <x v="1"/>
    <x v="4"/>
    <n v="2"/>
    <n v="0"/>
    <s v="315152"/>
    <n v="86625"/>
    <x v="1"/>
    <n v="1"/>
  </r>
  <r>
    <n v="1269"/>
    <x v="0"/>
    <x v="1"/>
    <s v="Cotterill, Mr. Henry Harry&quot;&quot;"/>
    <x v="0"/>
    <x v="9"/>
    <n v="0"/>
    <n v="0"/>
    <s v="29107"/>
    <n v="11.5"/>
    <x v="1"/>
    <n v="1"/>
  </r>
  <r>
    <n v="1270"/>
    <x v="0"/>
    <x v="2"/>
    <s v="Hipkins, Mr. William Edward"/>
    <x v="0"/>
    <x v="17"/>
    <n v="0"/>
    <n v="0"/>
    <s v="680"/>
    <n v="50"/>
    <x v="1"/>
    <n v="1"/>
  </r>
  <r>
    <n v="1271"/>
    <x v="0"/>
    <x v="0"/>
    <s v="Asplund, Master. Carl Edgar"/>
    <x v="0"/>
    <x v="75"/>
    <n v="4"/>
    <n v="2"/>
    <s v="347077"/>
    <n v="313875"/>
    <x v="1"/>
    <n v="1"/>
  </r>
  <r>
    <n v="1272"/>
    <x v="0"/>
    <x v="0"/>
    <s v="O'Connor, Mr. Patrick"/>
    <x v="0"/>
    <x v="37"/>
    <n v="0"/>
    <n v="0"/>
    <s v="366713"/>
    <n v="7.75"/>
    <x v="0"/>
    <n v="1"/>
  </r>
  <r>
    <n v="1273"/>
    <x v="0"/>
    <x v="0"/>
    <s v="Foley, Mr. Joseph"/>
    <x v="0"/>
    <x v="7"/>
    <n v="0"/>
    <n v="0"/>
    <s v="330910"/>
    <n v="78792"/>
    <x v="0"/>
    <n v="1"/>
  </r>
  <r>
    <n v="1274"/>
    <x v="1"/>
    <x v="0"/>
    <s v="Risien, Mrs. Samuel (Emma)"/>
    <x v="1"/>
    <x v="10"/>
    <n v="0"/>
    <n v="0"/>
    <s v="364498"/>
    <n v="14.5"/>
    <x v="1"/>
    <n v="1"/>
  </r>
  <r>
    <n v="1275"/>
    <x v="1"/>
    <x v="0"/>
    <s v="McNamee, Mrs. Neal (Eileen O'Leary)"/>
    <x v="1"/>
    <x v="67"/>
    <n v="1"/>
    <n v="0"/>
    <s v="376566"/>
    <n v="16.100000000000001"/>
    <x v="1"/>
    <n v="1"/>
  </r>
  <r>
    <n v="1276"/>
    <x v="0"/>
    <x v="1"/>
    <s v="Wheeler, Mr. Edwin Frederick&quot;&quot;"/>
    <x v="0"/>
    <x v="7"/>
    <n v="0"/>
    <n v="0"/>
    <s v="SC/PARIS 2159"/>
    <n v="12875"/>
    <x v="1"/>
    <n v="1"/>
  </r>
  <r>
    <n v="1277"/>
    <x v="1"/>
    <x v="1"/>
    <s v="Herman, Miss. Kate"/>
    <x v="1"/>
    <x v="14"/>
    <n v="1"/>
    <n v="2"/>
    <s v="220845"/>
    <n v="65"/>
    <x v="1"/>
    <n v="1"/>
  </r>
  <r>
    <n v="1278"/>
    <x v="0"/>
    <x v="0"/>
    <s v="Aronsson, Mr. Ernst Axel Algot"/>
    <x v="0"/>
    <x v="14"/>
    <n v="0"/>
    <n v="0"/>
    <s v="349911"/>
    <n v="7775"/>
    <x v="1"/>
    <n v="1"/>
  </r>
  <r>
    <n v="1279"/>
    <x v="0"/>
    <x v="1"/>
    <s v="Ashby, Mr. John"/>
    <x v="0"/>
    <x v="63"/>
    <n v="0"/>
    <n v="0"/>
    <s v="244346"/>
    <n v="13"/>
    <x v="1"/>
    <n v="1"/>
  </r>
  <r>
    <n v="1280"/>
    <x v="0"/>
    <x v="0"/>
    <s v="Canavan, Mr. Patrick"/>
    <x v="0"/>
    <x v="9"/>
    <n v="0"/>
    <n v="0"/>
    <s v="364858"/>
    <n v="7.75"/>
    <x v="0"/>
    <n v="1"/>
  </r>
  <r>
    <n v="1281"/>
    <x v="0"/>
    <x v="0"/>
    <s v="Palsson, Master. Paul Folke"/>
    <x v="0"/>
    <x v="41"/>
    <n v="3"/>
    <n v="1"/>
    <s v="349909"/>
    <n v="21075"/>
    <x v="1"/>
    <n v="1"/>
  </r>
  <r>
    <n v="1282"/>
    <x v="0"/>
    <x v="2"/>
    <s v="Payne, Mr. Vivian Ponsonby"/>
    <x v="0"/>
    <x v="12"/>
    <n v="0"/>
    <n v="0"/>
    <s v="12749"/>
    <n v="93.5"/>
    <x v="1"/>
    <n v="1"/>
  </r>
  <r>
    <n v="1283"/>
    <x v="1"/>
    <x v="2"/>
    <s v="Lines, Mrs. Ernest H (Elizabeth Lindsey James)"/>
    <x v="1"/>
    <x v="76"/>
    <n v="0"/>
    <n v="1"/>
    <s v="PC 17592"/>
    <n v="39.4"/>
    <x v="1"/>
    <n v="1"/>
  </r>
  <r>
    <n v="1284"/>
    <x v="0"/>
    <x v="0"/>
    <s v="Abbott, Master. Eugene Joseph"/>
    <x v="0"/>
    <x v="36"/>
    <n v="0"/>
    <n v="2"/>
    <s v="C.A. 2673"/>
    <n v="20.25"/>
    <x v="1"/>
    <n v="1"/>
  </r>
  <r>
    <n v="1285"/>
    <x v="0"/>
    <x v="1"/>
    <s v="Gilbert, Mr. William"/>
    <x v="0"/>
    <x v="1"/>
    <n v="0"/>
    <n v="0"/>
    <s v="C.A. 30769"/>
    <n v="10.5"/>
    <x v="1"/>
    <n v="1"/>
  </r>
  <r>
    <n v="1286"/>
    <x v="0"/>
    <x v="0"/>
    <s v="Kink-Heilmann, Mr. Anton"/>
    <x v="0"/>
    <x v="22"/>
    <n v="3"/>
    <n v="1"/>
    <s v="315153"/>
    <n v="22025"/>
    <x v="1"/>
    <n v="1"/>
  </r>
  <r>
    <n v="1287"/>
    <x v="1"/>
    <x v="2"/>
    <s v="Smith, Mrs. Lucien Philip (Mary Eloise Hughes)"/>
    <x v="1"/>
    <x v="8"/>
    <n v="1"/>
    <n v="0"/>
    <s v="13695"/>
    <n v="60"/>
    <x v="1"/>
    <n v="1"/>
  </r>
  <r>
    <n v="1288"/>
    <x v="0"/>
    <x v="0"/>
    <s v="Colbert, Mr. Patrick"/>
    <x v="0"/>
    <x v="14"/>
    <n v="0"/>
    <n v="0"/>
    <s v="371109"/>
    <n v="7.25"/>
    <x v="0"/>
    <n v="1"/>
  </r>
  <r>
    <n v="1289"/>
    <x v="1"/>
    <x v="2"/>
    <s v="Frolicher-Stehli, Mrs. Maxmillian (Margaretha Emerentia Stehli)"/>
    <x v="1"/>
    <x v="19"/>
    <n v="1"/>
    <n v="1"/>
    <s v="13567"/>
    <n v="79.2"/>
    <x v="2"/>
    <n v="1"/>
  </r>
  <r>
    <n v="1290"/>
    <x v="0"/>
    <x v="0"/>
    <s v="Larsson-Rondberg, Mr. Edvard A"/>
    <x v="0"/>
    <x v="4"/>
    <n v="0"/>
    <n v="0"/>
    <s v="347065"/>
    <n v="7775"/>
    <x v="1"/>
    <n v="1"/>
  </r>
  <r>
    <n v="1291"/>
    <x v="0"/>
    <x v="0"/>
    <s v="Conlon, Mr. Thomas Henry"/>
    <x v="0"/>
    <x v="37"/>
    <n v="0"/>
    <n v="0"/>
    <s v="21332"/>
    <n v="77333"/>
    <x v="0"/>
    <n v="1"/>
  </r>
  <r>
    <n v="1292"/>
    <x v="1"/>
    <x v="2"/>
    <s v="Bonnell, Miss. Caroline"/>
    <x v="1"/>
    <x v="6"/>
    <n v="0"/>
    <n v="0"/>
    <s v="36928"/>
    <n v="30"/>
    <x v="1"/>
    <n v="1"/>
  </r>
  <r>
    <n v="1293"/>
    <x v="0"/>
    <x v="1"/>
    <s v="Gale, Mr. Harry"/>
    <x v="0"/>
    <x v="62"/>
    <n v="1"/>
    <n v="0"/>
    <s v="28664"/>
    <n v="21"/>
    <x v="1"/>
    <n v="1"/>
  </r>
  <r>
    <n v="1294"/>
    <x v="1"/>
    <x v="2"/>
    <s v="Gibson, Miss. Dorothy Winifred"/>
    <x v="1"/>
    <x v="4"/>
    <n v="0"/>
    <n v="1"/>
    <s v="112378"/>
    <n v="59.4"/>
    <x v="2"/>
    <n v="1"/>
  </r>
  <r>
    <n v="1295"/>
    <x v="0"/>
    <x v="2"/>
    <s v="Carrau, Mr. Jose Pedro"/>
    <x v="0"/>
    <x v="34"/>
    <n v="0"/>
    <n v="0"/>
    <s v="113059"/>
    <n v="47.1"/>
    <x v="1"/>
    <n v="1"/>
  </r>
  <r>
    <n v="1296"/>
    <x v="0"/>
    <x v="2"/>
    <s v="Frauenthal, Mr. Isaac Gerald"/>
    <x v="0"/>
    <x v="45"/>
    <n v="1"/>
    <n v="0"/>
    <s v="17765"/>
    <n v="33"/>
    <x v="2"/>
    <n v="1"/>
  </r>
  <r>
    <n v="1297"/>
    <x v="0"/>
    <x v="1"/>
    <s v="Nourney, Mr. Alfred (Baron von Drachstedt&quot;)&quot;"/>
    <x v="0"/>
    <x v="30"/>
    <n v="0"/>
    <n v="0"/>
    <s v="SC/PARIS 2166"/>
    <n v="138625"/>
    <x v="2"/>
    <n v="1"/>
  </r>
  <r>
    <n v="1298"/>
    <x v="0"/>
    <x v="1"/>
    <s v="Ware, Mr. William Jeffery"/>
    <x v="0"/>
    <x v="12"/>
    <n v="1"/>
    <n v="0"/>
    <s v="28666"/>
    <n v="10.5"/>
    <x v="1"/>
    <n v="1"/>
  </r>
  <r>
    <n v="1299"/>
    <x v="0"/>
    <x v="2"/>
    <s v="Widener, Mr. George Dunton"/>
    <x v="0"/>
    <x v="20"/>
    <n v="1"/>
    <n v="1"/>
    <s v="113503"/>
    <n v="41"/>
    <x v="2"/>
    <n v="1"/>
  </r>
  <r>
    <n v="1300"/>
    <x v="1"/>
    <x v="0"/>
    <s v="Riordan, Miss. Johanna Hannah&quot;&quot;"/>
    <x v="1"/>
    <x v="62"/>
    <n v="0"/>
    <n v="0"/>
    <s v="334915"/>
    <n v="77208"/>
    <x v="0"/>
    <n v="1"/>
  </r>
  <r>
    <n v="1301"/>
    <x v="1"/>
    <x v="0"/>
    <s v="Peacock, Miss. Treasteall"/>
    <x v="1"/>
    <x v="77"/>
    <n v="1"/>
    <n v="1"/>
    <s v="SOTON/O.Q. 3101315"/>
    <n v="13775"/>
    <x v="1"/>
    <n v="1"/>
  </r>
  <r>
    <n v="1302"/>
    <x v="1"/>
    <x v="0"/>
    <s v="Naughton, Miss. Hannah"/>
    <x v="1"/>
    <x v="19"/>
    <n v="0"/>
    <n v="0"/>
    <s v="365237"/>
    <n v="7.75"/>
    <x v="0"/>
    <n v="1"/>
  </r>
  <r>
    <n v="1303"/>
    <x v="1"/>
    <x v="2"/>
    <s v="Minahan, Mrs. William Edward (Lillian E Thorpe)"/>
    <x v="1"/>
    <x v="33"/>
    <n v="1"/>
    <n v="0"/>
    <s v="19928"/>
    <n v="90"/>
    <x v="0"/>
    <n v="1"/>
  </r>
  <r>
    <n v="1304"/>
    <x v="1"/>
    <x v="0"/>
    <s v="Henriksson, Miss. Jenny Lovisa"/>
    <x v="1"/>
    <x v="31"/>
    <n v="0"/>
    <n v="0"/>
    <s v="347086"/>
    <n v="7775"/>
    <x v="1"/>
    <n v="1"/>
  </r>
  <r>
    <n v="1305"/>
    <x v="0"/>
    <x v="0"/>
    <s v="Spector, Mr. Woolf"/>
    <x v="0"/>
    <x v="20"/>
    <n v="0"/>
    <n v="0"/>
    <s v="A.5. 3236"/>
    <n v="8.0500000000000007"/>
    <x v="1"/>
    <n v="1"/>
  </r>
  <r>
    <n v="1306"/>
    <x v="1"/>
    <x v="2"/>
    <s v="Oliva y Ocana, Dona. Fermina"/>
    <x v="1"/>
    <x v="28"/>
    <n v="0"/>
    <n v="0"/>
    <s v="PC 17758"/>
    <n v="108.9"/>
    <x v="2"/>
    <n v="1"/>
  </r>
  <r>
    <n v="1307"/>
    <x v="0"/>
    <x v="0"/>
    <s v="Saether, Mr. Simon Sivertsen"/>
    <x v="0"/>
    <x v="78"/>
    <n v="0"/>
    <n v="0"/>
    <s v="SOTON/O.Q. 3101262"/>
    <n v="7.25"/>
    <x v="1"/>
    <n v="1"/>
  </r>
  <r>
    <n v="1308"/>
    <x v="0"/>
    <x v="0"/>
    <s v="Ware, Mr. Frederick"/>
    <x v="0"/>
    <x v="6"/>
    <n v="0"/>
    <n v="0"/>
    <s v="359309"/>
    <n v="8.0500000000000007"/>
    <x v="1"/>
    <n v="1"/>
  </r>
  <r>
    <n v="1309"/>
    <x v="0"/>
    <x v="0"/>
    <s v="Peter, Master. Michael J"/>
    <x v="0"/>
    <x v="12"/>
    <n v="1"/>
    <n v="1"/>
    <s v="2668"/>
    <n v="223583"/>
    <x v="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15645-E9C6-456D-A292-9893778941C3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56:C136" firstHeaderRow="1" firstDataRow="1" firstDataCol="1"/>
  <pivotFields count="14"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80">
        <item x="72"/>
        <item x="61"/>
        <item x="69"/>
        <item x="70"/>
        <item x="66"/>
        <item x="47"/>
        <item x="43"/>
        <item x="77"/>
        <item x="75"/>
        <item x="41"/>
        <item x="54"/>
        <item x="60"/>
        <item x="18"/>
        <item x="32"/>
        <item x="59"/>
        <item x="48"/>
        <item x="36"/>
        <item x="5"/>
        <item x="74"/>
        <item x="55"/>
        <item x="46"/>
        <item x="34"/>
        <item x="8"/>
        <item x="25"/>
        <item x="67"/>
        <item x="30"/>
        <item x="9"/>
        <item x="4"/>
        <item x="21"/>
        <item x="12"/>
        <item x="14"/>
        <item x="26"/>
        <item x="7"/>
        <item x="51"/>
        <item x="3"/>
        <item x="31"/>
        <item x="38"/>
        <item x="22"/>
        <item x="6"/>
        <item x="37"/>
        <item x="35"/>
        <item x="39"/>
        <item x="23"/>
        <item x="58"/>
        <item x="0"/>
        <item x="15"/>
        <item x="24"/>
        <item x="68"/>
        <item x="33"/>
        <item x="62"/>
        <item x="78"/>
        <item x="28"/>
        <item x="27"/>
        <item x="65"/>
        <item x="10"/>
        <item x="49"/>
        <item x="45"/>
        <item x="64"/>
        <item x="16"/>
        <item x="11"/>
        <item x="1"/>
        <item x="19"/>
        <item x="40"/>
        <item x="20"/>
        <item x="76"/>
        <item x="50"/>
        <item x="56"/>
        <item x="17"/>
        <item x="63"/>
        <item x="71"/>
        <item x="73"/>
        <item x="29"/>
        <item x="53"/>
        <item x="52"/>
        <item x="2"/>
        <item x="13"/>
        <item x="57"/>
        <item x="42"/>
        <item x="44"/>
        <item t="default"/>
      </items>
    </pivotField>
    <pivotField showAll="0"/>
    <pivotField showAll="0"/>
    <pivotField dataField="1" showAll="0"/>
    <pivotField showAll="0"/>
    <pivotField showAll="0">
      <items count="4">
        <item x="2"/>
        <item x="0"/>
        <item x="1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dataFields count="1">
    <dataField name="Cuenta de ID Ticket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A7218-2A02-4BF3-AD81-7737A411CA94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3:C17" firstHeaderRow="1" firstDataRow="1" firstDataCol="1"/>
  <pivotFields count="14"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uenta de ID Ticket" fld="8" subtotal="count" baseField="0" baseItem="0"/>
  </dataField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14FF2-8128-4ED1-9A81-C07DA831368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7:B8" firstHeaderRow="1" firstDataRow="1" firstDataCol="0"/>
  <pivotFields count="14"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>
      <items count="4">
        <item x="2"/>
        <item x="0"/>
        <item x="1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Cuenta de ID Ticket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0F6C5-70F4-4465-A38C-26EAC3EF957D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46:D50" firstHeaderRow="0" firstDataRow="1" firstDataCol="1"/>
  <pivotFields count="14"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4">
        <item x="2"/>
        <item x="0"/>
        <item x="1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GBP" fld="9" baseField="0" baseItem="0"/>
    <dataField name="AOV GBP" fld="9" subtotal="average" baseField="2" baseItem="0"/>
  </dataFields>
  <formats count="3">
    <format dxfId="2">
      <pivotArea outline="0" collapsedLevelsAreSubtotals="1" fieldPosition="0"/>
    </format>
    <format dxfId="1">
      <pivotArea collapsedLevelsAreSubtotals="1" fieldPosition="0">
        <references count="1">
          <reference field="2" count="0"/>
        </references>
      </pivotArea>
    </format>
    <format dxfId="0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</formats>
  <chartFormats count="2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61DEAA-09CC-4642-BAE1-7C3517339DB7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3:C26" firstHeaderRow="1" firstDataRow="1" firstDataCol="1"/>
  <pivotFields count="14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>
      <items count="4">
        <item x="2"/>
        <item x="0"/>
        <item x="1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uenta de ID Ticket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9C3EB5-19DC-4E9B-B987-B64D179DEF80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38:C41" firstHeaderRow="1" firstDataRow="1" firstDataCol="1"/>
  <pivotFields count="14">
    <pivotField showAll="0"/>
    <pivotField showAll="0"/>
    <pivotField showAll="0"/>
    <pivotField showAll="0"/>
    <pivotField axis="axisRow" showAll="0" sortType="ascending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>
      <items count="4">
        <item x="2"/>
        <item x="0"/>
        <item x="1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uenta de ID Ticket" fld="8" subtotal="count" baseField="0" baseItem="0"/>
  </dataFields>
  <chartFormats count="2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C5ABE2-C96E-4545-A9E7-4302B2387455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2:B33" firstHeaderRow="1" firstDataRow="1" firstDataCol="0"/>
  <pivotFields count="14"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Promedio de Edad (Años)" fld="5" subtotal="average" baseField="0" baseItem="0" numFmtId="165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3D40DBF-2B18-4F46-A330-878E9188C9BF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IDPasajero" tableColumnId="1"/>
      <queryTableField id="2" name="Sobrevivió (0=No, 1=Si)" tableColumnId="2"/>
      <queryTableField id="3" name="Clase" tableColumnId="3"/>
      <queryTableField id="4" name="Nombre" tableColumnId="4"/>
      <queryTableField id="5" name="Sexo" tableColumnId="5"/>
      <queryTableField id="6" name="Edad (Años)" tableColumnId="6"/>
      <queryTableField id="7" name="Número de hermanos/cónyuges a bordo del Titanic" tableColumnId="7"/>
      <queryTableField id="8" name="Número de padres/hijos a bordo del Titanic" tableColumnId="8"/>
      <queryTableField id="9" name="ID Ticket" tableColumnId="9"/>
      <queryTableField id="10" name="Valor Ticket GBP (libras esterlinas)" tableColumnId="10"/>
      <queryTableField id="11" name="Puerto de embarque" tableColumnId="11"/>
      <queryTableField id="12" dataBound="0" tableColumnId="1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xo" xr10:uid="{953C9309-8C4F-41FC-9A55-20FF9DCC9057}" sourceName="Sexo">
  <pivotTables>
    <pivotTable tabId="3" name="TablaDinámica4"/>
    <pivotTable tabId="3" name="TablaDinámica1"/>
    <pivotTable tabId="3" name="TablaDinámica3"/>
    <pivotTable tabId="3" name="TablaDinámica5"/>
    <pivotTable tabId="3" name="TablaDinámica6"/>
    <pivotTable tabId="3" name="TablaDinámica7"/>
    <pivotTable tabId="3" name="TablaDinámica8"/>
  </pivotTables>
  <data>
    <tabular pivotCacheId="1867907726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uerto_de_embarque" xr10:uid="{E53180A6-45D0-43FB-B6FB-E16A30587A6C}" sourceName="Puerto de embarque">
  <pivotTables>
    <pivotTable tabId="3" name="TablaDinámica4"/>
    <pivotTable tabId="3" name="TablaDinámica1"/>
    <pivotTable tabId="3" name="TablaDinámica3"/>
    <pivotTable tabId="3" name="TablaDinámica5"/>
    <pivotTable tabId="3" name="TablaDinámica6"/>
    <pivotTable tabId="3" name="TablaDinámica7"/>
    <pivotTable tabId="3" name="TablaDinámica8"/>
  </pivotTables>
  <data>
    <tabular pivotCacheId="1867907726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xo" xr10:uid="{8820E145-0ED3-4728-B084-453E2E89051E}" cache="SegmentaciónDeDatos_Sexo" caption="Sexo" columnCount="2" style="SlicerStyleDark1" rowHeight="216000"/>
  <slicer name="Puerto de embarque" xr10:uid="{5336C7F3-B235-4F58-ADFB-9412C588B9AA}" cache="SegmentaciónDeDatos_Puerto_de_embarque" caption="Puerto de embarque" columnCount="3" style="SlicerStyleDark1" rowHeight="216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198A04-0A85-4E4A-A0CC-207CA2097191}" name="DB" displayName="DB" ref="A1:L419" tableType="queryTable" totalsRowShown="0">
  <tableColumns count="12">
    <tableColumn id="1" xr3:uid="{9A82DB24-9875-4077-9A6B-169C1AE0566F}" uniqueName="1" name="IDPasajero" queryTableFieldId="1"/>
    <tableColumn id="2" xr3:uid="{D5369762-0C85-4947-B590-6768018A6160}" uniqueName="2" name="Sobrevivió (0=No, 1=Si)" queryTableFieldId="2"/>
    <tableColumn id="3" xr3:uid="{343F37DB-9914-47F9-BFB0-58DE042DF7BF}" uniqueName="3" name="Clase" queryTableFieldId="3"/>
    <tableColumn id="4" xr3:uid="{9608FF27-D6B9-4B21-899B-9ABE86437437}" uniqueName="4" name="Nombre" queryTableFieldId="4" dataDxfId="8"/>
    <tableColumn id="5" xr3:uid="{327B18DD-BFF8-4156-B1B4-A9F2F053ACB5}" uniqueName="5" name="Sexo" queryTableFieldId="5" dataDxfId="7"/>
    <tableColumn id="6" xr3:uid="{2AAF7A4C-41F8-483F-A21D-0E3AA29E9D53}" uniqueName="6" name="Edad (Años)" queryTableFieldId="6"/>
    <tableColumn id="7" xr3:uid="{5A2950A4-05B7-4203-A885-E19FD34ED831}" uniqueName="7" name="Número de hermanos/cónyuges a bordo del Titanic" queryTableFieldId="7"/>
    <tableColumn id="8" xr3:uid="{501D9616-4EAF-4688-824E-89A071DF2C07}" uniqueName="8" name="Número de padres/hijos a bordo del Titanic" queryTableFieldId="8"/>
    <tableColumn id="9" xr3:uid="{39F4BD21-6311-4E33-AEDD-31304D0068BB}" uniqueName="9" name="ID Ticket" queryTableFieldId="9" dataDxfId="6"/>
    <tableColumn id="10" xr3:uid="{889CF7E8-7D68-43D0-930D-C69A081BCF59}" uniqueName="10" name="Valor Ticket GBP (libras esterlinas)" queryTableFieldId="10" dataDxfId="5" dataCellStyle="Moneda"/>
    <tableColumn id="11" xr3:uid="{9BF1CCFE-643E-4B43-B286-79CE5D546B6C}" uniqueName="11" name="Puerto de embarque" queryTableFieldId="11" dataDxfId="4"/>
    <tableColumn id="12" xr3:uid="{417EB777-C5DA-4C43-8FAA-26F7EC0D10E4}" uniqueName="12" name="# Pasajeros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A24C-5FC8-41EE-82F5-A7AD687BCBB6}">
  <sheetPr>
    <tabColor theme="4" tint="-0.249977111117893"/>
  </sheetPr>
  <dimension ref="A1:A3"/>
  <sheetViews>
    <sheetView showGridLines="0" tabSelected="1" zoomScaleNormal="100" workbookViewId="0">
      <selection activeCell="L10" sqref="L10"/>
    </sheetView>
  </sheetViews>
  <sheetFormatPr baseColWidth="10" defaultRowHeight="15" x14ac:dyDescent="0.25"/>
  <sheetData>
    <row r="1" spans="1:1" s="12" customFormat="1" x14ac:dyDescent="0.25">
      <c r="A1" s="12" t="s">
        <v>802</v>
      </c>
    </row>
    <row r="2" spans="1:1" s="12" customFormat="1" x14ac:dyDescent="0.25"/>
    <row r="3" spans="1:1" s="12" customFormat="1" x14ac:dyDescent="0.25"/>
  </sheetData>
  <mergeCells count="1">
    <mergeCell ref="A1:XFD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27CCF-0C8E-4199-B32C-C992419B51F9}">
  <dimension ref="A1:L419"/>
  <sheetViews>
    <sheetView workbookViewId="0"/>
  </sheetViews>
  <sheetFormatPr baseColWidth="10" defaultRowHeight="15" x14ac:dyDescent="0.25"/>
  <cols>
    <col min="1" max="1" width="10.7109375" bestFit="1" customWidth="1"/>
    <col min="2" max="2" width="22" bestFit="1" customWidth="1"/>
    <col min="3" max="3" width="6.140625" bestFit="1" customWidth="1"/>
    <col min="4" max="4" width="61.140625" bestFit="1" customWidth="1"/>
    <col min="5" max="5" width="8" bestFit="1" customWidth="1"/>
    <col min="6" max="6" width="11.7109375" bestFit="1" customWidth="1"/>
    <col min="7" max="7" width="47.5703125" bestFit="1" customWidth="1"/>
    <col min="8" max="8" width="40.28515625" bestFit="1" customWidth="1"/>
    <col min="9" max="9" width="19.5703125" bestFit="1" customWidth="1"/>
    <col min="10" max="10" width="33.85546875" style="9" bestFit="1" customWidth="1"/>
    <col min="11" max="11" width="19.42578125" bestFit="1" customWidth="1"/>
    <col min="12" max="12" width="11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9" t="s">
        <v>9</v>
      </c>
      <c r="K1" t="s">
        <v>10</v>
      </c>
      <c r="L1" t="s">
        <v>810</v>
      </c>
    </row>
    <row r="2" spans="1:12" x14ac:dyDescent="0.25">
      <c r="A2">
        <v>892</v>
      </c>
      <c r="B2">
        <v>0</v>
      </c>
      <c r="C2">
        <v>3</v>
      </c>
      <c r="D2" t="s">
        <v>11</v>
      </c>
      <c r="E2" t="s">
        <v>12</v>
      </c>
      <c r="F2">
        <v>34.5</v>
      </c>
      <c r="G2">
        <v>0</v>
      </c>
      <c r="H2">
        <v>0</v>
      </c>
      <c r="I2" t="s">
        <v>13</v>
      </c>
      <c r="J2" s="9">
        <v>7.8292000000000002</v>
      </c>
      <c r="K2" t="s">
        <v>14</v>
      </c>
      <c r="L2">
        <v>1</v>
      </c>
    </row>
    <row r="3" spans="1:12" x14ac:dyDescent="0.25">
      <c r="A3">
        <v>893</v>
      </c>
      <c r="B3">
        <v>1</v>
      </c>
      <c r="C3">
        <v>3</v>
      </c>
      <c r="D3" t="s">
        <v>15</v>
      </c>
      <c r="E3" t="s">
        <v>16</v>
      </c>
      <c r="F3">
        <v>47</v>
      </c>
      <c r="G3">
        <v>1</v>
      </c>
      <c r="H3">
        <v>0</v>
      </c>
      <c r="I3" t="s">
        <v>17</v>
      </c>
      <c r="J3" s="9">
        <v>7</v>
      </c>
      <c r="K3" t="s">
        <v>18</v>
      </c>
      <c r="L3">
        <v>1</v>
      </c>
    </row>
    <row r="4" spans="1:12" x14ac:dyDescent="0.25">
      <c r="A4">
        <v>894</v>
      </c>
      <c r="B4">
        <v>0</v>
      </c>
      <c r="C4">
        <v>2</v>
      </c>
      <c r="D4" t="s">
        <v>19</v>
      </c>
      <c r="E4" t="s">
        <v>12</v>
      </c>
      <c r="F4">
        <v>62</v>
      </c>
      <c r="G4">
        <v>0</v>
      </c>
      <c r="H4">
        <v>0</v>
      </c>
      <c r="I4" t="s">
        <v>20</v>
      </c>
      <c r="J4" s="9">
        <v>9.6875</v>
      </c>
      <c r="K4" t="s">
        <v>14</v>
      </c>
      <c r="L4">
        <v>1</v>
      </c>
    </row>
    <row r="5" spans="1:12" x14ac:dyDescent="0.25">
      <c r="A5">
        <v>895</v>
      </c>
      <c r="B5">
        <v>0</v>
      </c>
      <c r="C5">
        <v>3</v>
      </c>
      <c r="D5" t="s">
        <v>21</v>
      </c>
      <c r="E5" t="s">
        <v>12</v>
      </c>
      <c r="F5">
        <v>27</v>
      </c>
      <c r="G5">
        <v>0</v>
      </c>
      <c r="H5">
        <v>0</v>
      </c>
      <c r="I5" t="s">
        <v>22</v>
      </c>
      <c r="J5" s="9">
        <v>8.6624999999999996</v>
      </c>
      <c r="K5" t="s">
        <v>18</v>
      </c>
      <c r="L5">
        <v>1</v>
      </c>
    </row>
    <row r="6" spans="1:12" x14ac:dyDescent="0.25">
      <c r="A6">
        <v>896</v>
      </c>
      <c r="B6">
        <v>1</v>
      </c>
      <c r="C6">
        <v>3</v>
      </c>
      <c r="D6" t="s">
        <v>23</v>
      </c>
      <c r="E6" t="s">
        <v>16</v>
      </c>
      <c r="F6">
        <v>22</v>
      </c>
      <c r="G6">
        <v>1</v>
      </c>
      <c r="H6">
        <v>1</v>
      </c>
      <c r="I6" t="s">
        <v>24</v>
      </c>
      <c r="J6" s="9">
        <v>12.2875</v>
      </c>
      <c r="K6" t="s">
        <v>18</v>
      </c>
      <c r="L6">
        <v>1</v>
      </c>
    </row>
    <row r="7" spans="1:12" x14ac:dyDescent="0.25">
      <c r="A7">
        <v>897</v>
      </c>
      <c r="B7">
        <v>0</v>
      </c>
      <c r="C7">
        <v>3</v>
      </c>
      <c r="D7" t="s">
        <v>25</v>
      </c>
      <c r="E7" t="s">
        <v>12</v>
      </c>
      <c r="F7">
        <v>14</v>
      </c>
      <c r="G7">
        <v>0</v>
      </c>
      <c r="H7">
        <v>0</v>
      </c>
      <c r="I7" t="s">
        <v>26</v>
      </c>
      <c r="J7" s="9">
        <v>9.2249999999999996</v>
      </c>
      <c r="K7" t="s">
        <v>18</v>
      </c>
      <c r="L7">
        <v>1</v>
      </c>
    </row>
    <row r="8" spans="1:12" x14ac:dyDescent="0.25">
      <c r="A8">
        <v>898</v>
      </c>
      <c r="B8">
        <v>1</v>
      </c>
      <c r="C8">
        <v>3</v>
      </c>
      <c r="D8" t="s">
        <v>27</v>
      </c>
      <c r="E8" t="s">
        <v>16</v>
      </c>
      <c r="F8">
        <v>30</v>
      </c>
      <c r="G8">
        <v>0</v>
      </c>
      <c r="H8">
        <v>0</v>
      </c>
      <c r="I8" t="s">
        <v>28</v>
      </c>
      <c r="J8" s="9">
        <v>7.6292</v>
      </c>
      <c r="K8" t="s">
        <v>14</v>
      </c>
      <c r="L8">
        <v>1</v>
      </c>
    </row>
    <row r="9" spans="1:12" x14ac:dyDescent="0.25">
      <c r="A9">
        <v>899</v>
      </c>
      <c r="B9">
        <v>0</v>
      </c>
      <c r="C9">
        <v>2</v>
      </c>
      <c r="D9" t="s">
        <v>29</v>
      </c>
      <c r="E9" t="s">
        <v>12</v>
      </c>
      <c r="F9">
        <v>26</v>
      </c>
      <c r="G9">
        <v>1</v>
      </c>
      <c r="H9">
        <v>1</v>
      </c>
      <c r="I9" t="s">
        <v>30</v>
      </c>
      <c r="J9" s="9">
        <v>29</v>
      </c>
      <c r="K9" t="s">
        <v>18</v>
      </c>
      <c r="L9">
        <v>1</v>
      </c>
    </row>
    <row r="10" spans="1:12" x14ac:dyDescent="0.25">
      <c r="A10">
        <v>900</v>
      </c>
      <c r="B10">
        <v>1</v>
      </c>
      <c r="C10">
        <v>3</v>
      </c>
      <c r="D10" t="s">
        <v>31</v>
      </c>
      <c r="E10" t="s">
        <v>16</v>
      </c>
      <c r="F10">
        <v>18</v>
      </c>
      <c r="G10">
        <v>0</v>
      </c>
      <c r="H10">
        <v>0</v>
      </c>
      <c r="I10" t="s">
        <v>32</v>
      </c>
      <c r="J10" s="9">
        <v>7.2291999999999996</v>
      </c>
      <c r="K10" t="s">
        <v>33</v>
      </c>
      <c r="L10">
        <v>1</v>
      </c>
    </row>
    <row r="11" spans="1:12" x14ac:dyDescent="0.25">
      <c r="A11">
        <v>901</v>
      </c>
      <c r="B11">
        <v>0</v>
      </c>
      <c r="C11">
        <v>3</v>
      </c>
      <c r="D11" t="s">
        <v>34</v>
      </c>
      <c r="E11" t="s">
        <v>12</v>
      </c>
      <c r="F11">
        <v>21</v>
      </c>
      <c r="G11">
        <v>2</v>
      </c>
      <c r="H11">
        <v>0</v>
      </c>
      <c r="I11" t="s">
        <v>35</v>
      </c>
      <c r="J11" s="9">
        <v>24.15</v>
      </c>
      <c r="K11" t="s">
        <v>18</v>
      </c>
      <c r="L11">
        <v>1</v>
      </c>
    </row>
    <row r="12" spans="1:12" x14ac:dyDescent="0.25">
      <c r="A12">
        <v>902</v>
      </c>
      <c r="B12">
        <v>0</v>
      </c>
      <c r="C12">
        <v>3</v>
      </c>
      <c r="D12" t="s">
        <v>36</v>
      </c>
      <c r="E12" t="s">
        <v>12</v>
      </c>
      <c r="F12">
        <v>41</v>
      </c>
      <c r="G12">
        <v>0</v>
      </c>
      <c r="H12">
        <v>0</v>
      </c>
      <c r="I12" t="s">
        <v>37</v>
      </c>
      <c r="J12" s="9">
        <v>7.8958000000000004</v>
      </c>
      <c r="K12" t="s">
        <v>18</v>
      </c>
      <c r="L12">
        <v>1</v>
      </c>
    </row>
    <row r="13" spans="1:12" x14ac:dyDescent="0.25">
      <c r="A13">
        <v>903</v>
      </c>
      <c r="B13">
        <v>0</v>
      </c>
      <c r="C13">
        <v>1</v>
      </c>
      <c r="D13" t="s">
        <v>38</v>
      </c>
      <c r="E13" t="s">
        <v>12</v>
      </c>
      <c r="F13">
        <v>46</v>
      </c>
      <c r="G13">
        <v>0</v>
      </c>
      <c r="H13">
        <v>0</v>
      </c>
      <c r="I13" t="s">
        <v>39</v>
      </c>
      <c r="J13" s="9">
        <v>26</v>
      </c>
      <c r="K13" t="s">
        <v>18</v>
      </c>
      <c r="L13">
        <v>1</v>
      </c>
    </row>
    <row r="14" spans="1:12" x14ac:dyDescent="0.25">
      <c r="A14">
        <v>904</v>
      </c>
      <c r="B14">
        <v>1</v>
      </c>
      <c r="C14">
        <v>1</v>
      </c>
      <c r="D14" t="s">
        <v>40</v>
      </c>
      <c r="E14" t="s">
        <v>16</v>
      </c>
      <c r="F14">
        <v>23</v>
      </c>
      <c r="G14">
        <v>1</v>
      </c>
      <c r="H14">
        <v>0</v>
      </c>
      <c r="I14" t="s">
        <v>41</v>
      </c>
      <c r="J14" s="9">
        <v>82.2667</v>
      </c>
      <c r="K14" t="s">
        <v>18</v>
      </c>
      <c r="L14">
        <v>1</v>
      </c>
    </row>
    <row r="15" spans="1:12" x14ac:dyDescent="0.25">
      <c r="A15">
        <v>905</v>
      </c>
      <c r="B15">
        <v>0</v>
      </c>
      <c r="C15">
        <v>2</v>
      </c>
      <c r="D15" t="s">
        <v>42</v>
      </c>
      <c r="E15" t="s">
        <v>12</v>
      </c>
      <c r="F15">
        <v>63</v>
      </c>
      <c r="G15">
        <v>1</v>
      </c>
      <c r="H15">
        <v>0</v>
      </c>
      <c r="I15" t="s">
        <v>43</v>
      </c>
      <c r="J15" s="9">
        <v>26</v>
      </c>
      <c r="K15" t="s">
        <v>18</v>
      </c>
      <c r="L15">
        <v>1</v>
      </c>
    </row>
    <row r="16" spans="1:12" x14ac:dyDescent="0.25">
      <c r="A16">
        <v>906</v>
      </c>
      <c r="B16">
        <v>1</v>
      </c>
      <c r="C16">
        <v>1</v>
      </c>
      <c r="D16" t="s">
        <v>44</v>
      </c>
      <c r="E16" t="s">
        <v>16</v>
      </c>
      <c r="F16">
        <v>47</v>
      </c>
      <c r="G16">
        <v>1</v>
      </c>
      <c r="H16">
        <v>0</v>
      </c>
      <c r="I16" t="s">
        <v>45</v>
      </c>
      <c r="J16" s="9">
        <v>61.174999999999997</v>
      </c>
      <c r="K16" t="s">
        <v>18</v>
      </c>
      <c r="L16">
        <v>1</v>
      </c>
    </row>
    <row r="17" spans="1:12" x14ac:dyDescent="0.25">
      <c r="A17">
        <v>907</v>
      </c>
      <c r="B17">
        <v>1</v>
      </c>
      <c r="C17">
        <v>2</v>
      </c>
      <c r="D17" t="s">
        <v>46</v>
      </c>
      <c r="E17" t="s">
        <v>16</v>
      </c>
      <c r="F17">
        <v>24</v>
      </c>
      <c r="G17">
        <v>1</v>
      </c>
      <c r="H17">
        <v>0</v>
      </c>
      <c r="I17" t="s">
        <v>47</v>
      </c>
      <c r="J17" s="9">
        <v>27.720800000000001</v>
      </c>
      <c r="K17" t="s">
        <v>33</v>
      </c>
      <c r="L17">
        <v>1</v>
      </c>
    </row>
    <row r="18" spans="1:12" x14ac:dyDescent="0.25">
      <c r="A18">
        <v>908</v>
      </c>
      <c r="B18">
        <v>0</v>
      </c>
      <c r="C18">
        <v>2</v>
      </c>
      <c r="D18" t="s">
        <v>48</v>
      </c>
      <c r="E18" t="s">
        <v>12</v>
      </c>
      <c r="F18">
        <v>35</v>
      </c>
      <c r="G18">
        <v>0</v>
      </c>
      <c r="H18">
        <v>0</v>
      </c>
      <c r="I18" t="s">
        <v>49</v>
      </c>
      <c r="J18" s="9">
        <v>12.35</v>
      </c>
      <c r="K18" t="s">
        <v>14</v>
      </c>
      <c r="L18">
        <v>1</v>
      </c>
    </row>
    <row r="19" spans="1:12" x14ac:dyDescent="0.25">
      <c r="A19">
        <v>909</v>
      </c>
      <c r="B19">
        <v>0</v>
      </c>
      <c r="C19">
        <v>3</v>
      </c>
      <c r="D19" t="s">
        <v>50</v>
      </c>
      <c r="E19" t="s">
        <v>12</v>
      </c>
      <c r="F19">
        <v>21</v>
      </c>
      <c r="G19">
        <v>0</v>
      </c>
      <c r="H19">
        <v>0</v>
      </c>
      <c r="I19" t="s">
        <v>51</v>
      </c>
      <c r="J19" s="9">
        <v>7.2249999999999996</v>
      </c>
      <c r="K19" t="s">
        <v>33</v>
      </c>
      <c r="L19">
        <v>1</v>
      </c>
    </row>
    <row r="20" spans="1:12" x14ac:dyDescent="0.25">
      <c r="A20">
        <v>910</v>
      </c>
      <c r="B20">
        <v>1</v>
      </c>
      <c r="C20">
        <v>3</v>
      </c>
      <c r="D20" t="s">
        <v>52</v>
      </c>
      <c r="E20" t="s">
        <v>16</v>
      </c>
      <c r="F20">
        <v>27</v>
      </c>
      <c r="G20">
        <v>1</v>
      </c>
      <c r="H20">
        <v>0</v>
      </c>
      <c r="I20" t="s">
        <v>53</v>
      </c>
      <c r="J20" s="9">
        <v>7.9249999999999998</v>
      </c>
      <c r="K20" t="s">
        <v>18</v>
      </c>
      <c r="L20">
        <v>1</v>
      </c>
    </row>
    <row r="21" spans="1:12" x14ac:dyDescent="0.25">
      <c r="A21">
        <v>911</v>
      </c>
      <c r="B21">
        <v>1</v>
      </c>
      <c r="C21">
        <v>3</v>
      </c>
      <c r="D21" t="s">
        <v>54</v>
      </c>
      <c r="E21" t="s">
        <v>16</v>
      </c>
      <c r="F21">
        <v>45</v>
      </c>
      <c r="G21">
        <v>0</v>
      </c>
      <c r="H21">
        <v>0</v>
      </c>
      <c r="I21" t="s">
        <v>55</v>
      </c>
      <c r="J21" s="9">
        <v>7.2249999999999996</v>
      </c>
      <c r="K21" t="s">
        <v>33</v>
      </c>
      <c r="L21">
        <v>1</v>
      </c>
    </row>
    <row r="22" spans="1:12" x14ac:dyDescent="0.25">
      <c r="A22">
        <v>912</v>
      </c>
      <c r="B22">
        <v>0</v>
      </c>
      <c r="C22">
        <v>1</v>
      </c>
      <c r="D22" t="s">
        <v>56</v>
      </c>
      <c r="E22" t="s">
        <v>12</v>
      </c>
      <c r="F22">
        <v>55</v>
      </c>
      <c r="G22">
        <v>1</v>
      </c>
      <c r="H22">
        <v>0</v>
      </c>
      <c r="I22" t="s">
        <v>57</v>
      </c>
      <c r="J22" s="9">
        <v>59.4</v>
      </c>
      <c r="K22" t="s">
        <v>33</v>
      </c>
      <c r="L22">
        <v>1</v>
      </c>
    </row>
    <row r="23" spans="1:12" x14ac:dyDescent="0.25">
      <c r="A23">
        <v>913</v>
      </c>
      <c r="B23">
        <v>0</v>
      </c>
      <c r="C23">
        <v>3</v>
      </c>
      <c r="D23" t="s">
        <v>58</v>
      </c>
      <c r="E23" t="s">
        <v>12</v>
      </c>
      <c r="F23">
        <v>9</v>
      </c>
      <c r="G23">
        <v>0</v>
      </c>
      <c r="H23">
        <v>1</v>
      </c>
      <c r="I23" t="s">
        <v>59</v>
      </c>
      <c r="J23" s="9">
        <v>3.1707999999999998</v>
      </c>
      <c r="K23" t="s">
        <v>18</v>
      </c>
      <c r="L23">
        <v>1</v>
      </c>
    </row>
    <row r="24" spans="1:12" x14ac:dyDescent="0.25">
      <c r="A24">
        <v>914</v>
      </c>
      <c r="B24">
        <v>1</v>
      </c>
      <c r="C24">
        <v>1</v>
      </c>
      <c r="D24" t="s">
        <v>60</v>
      </c>
      <c r="E24" t="s">
        <v>16</v>
      </c>
      <c r="F24">
        <v>26</v>
      </c>
      <c r="G24">
        <v>0</v>
      </c>
      <c r="H24">
        <v>0</v>
      </c>
      <c r="I24" t="s">
        <v>61</v>
      </c>
      <c r="J24" s="9">
        <v>31.683299999999999</v>
      </c>
      <c r="K24" t="s">
        <v>18</v>
      </c>
      <c r="L24">
        <v>1</v>
      </c>
    </row>
    <row r="25" spans="1:12" x14ac:dyDescent="0.25">
      <c r="A25">
        <v>915</v>
      </c>
      <c r="B25">
        <v>0</v>
      </c>
      <c r="C25">
        <v>1</v>
      </c>
      <c r="D25" t="s">
        <v>62</v>
      </c>
      <c r="E25" t="s">
        <v>12</v>
      </c>
      <c r="F25">
        <v>21</v>
      </c>
      <c r="G25">
        <v>0</v>
      </c>
      <c r="H25">
        <v>1</v>
      </c>
      <c r="I25" t="s">
        <v>63</v>
      </c>
      <c r="J25" s="9">
        <v>61.379199999999997</v>
      </c>
      <c r="K25" t="s">
        <v>33</v>
      </c>
      <c r="L25">
        <v>1</v>
      </c>
    </row>
    <row r="26" spans="1:12" x14ac:dyDescent="0.25">
      <c r="A26">
        <v>916</v>
      </c>
      <c r="B26">
        <v>1</v>
      </c>
      <c r="C26">
        <v>1</v>
      </c>
      <c r="D26" t="s">
        <v>64</v>
      </c>
      <c r="E26" t="s">
        <v>16</v>
      </c>
      <c r="F26">
        <v>48</v>
      </c>
      <c r="G26">
        <v>1</v>
      </c>
      <c r="H26">
        <v>3</v>
      </c>
      <c r="I26" t="s">
        <v>65</v>
      </c>
      <c r="J26" s="9">
        <v>37</v>
      </c>
      <c r="K26" t="s">
        <v>33</v>
      </c>
      <c r="L26">
        <v>1</v>
      </c>
    </row>
    <row r="27" spans="1:12" x14ac:dyDescent="0.25">
      <c r="A27">
        <v>917</v>
      </c>
      <c r="B27">
        <v>0</v>
      </c>
      <c r="C27">
        <v>3</v>
      </c>
      <c r="D27" t="s">
        <v>66</v>
      </c>
      <c r="E27" t="s">
        <v>12</v>
      </c>
      <c r="F27">
        <v>50</v>
      </c>
      <c r="G27">
        <v>1</v>
      </c>
      <c r="H27">
        <v>0</v>
      </c>
      <c r="I27" t="s">
        <v>67</v>
      </c>
      <c r="J27" s="9">
        <v>14.5</v>
      </c>
      <c r="K27" t="s">
        <v>18</v>
      </c>
      <c r="L27">
        <v>1</v>
      </c>
    </row>
    <row r="28" spans="1:12" x14ac:dyDescent="0.25">
      <c r="A28">
        <v>918</v>
      </c>
      <c r="B28">
        <v>1</v>
      </c>
      <c r="C28">
        <v>1</v>
      </c>
      <c r="D28" t="s">
        <v>68</v>
      </c>
      <c r="E28" t="s">
        <v>16</v>
      </c>
      <c r="F28">
        <v>22</v>
      </c>
      <c r="G28">
        <v>0</v>
      </c>
      <c r="H28">
        <v>1</v>
      </c>
      <c r="I28" t="s">
        <v>69</v>
      </c>
      <c r="J28" s="9">
        <v>61.979199999999999</v>
      </c>
      <c r="K28" t="s">
        <v>33</v>
      </c>
      <c r="L28">
        <v>1</v>
      </c>
    </row>
    <row r="29" spans="1:12" x14ac:dyDescent="0.25">
      <c r="A29">
        <v>919</v>
      </c>
      <c r="B29">
        <v>0</v>
      </c>
      <c r="C29">
        <v>3</v>
      </c>
      <c r="D29" t="s">
        <v>70</v>
      </c>
      <c r="E29" t="s">
        <v>12</v>
      </c>
      <c r="F29">
        <v>22.5</v>
      </c>
      <c r="G29">
        <v>0</v>
      </c>
      <c r="H29">
        <v>0</v>
      </c>
      <c r="I29" t="s">
        <v>71</v>
      </c>
      <c r="J29" s="9">
        <v>7.2249999999999996</v>
      </c>
      <c r="K29" t="s">
        <v>33</v>
      </c>
      <c r="L29">
        <v>1</v>
      </c>
    </row>
    <row r="30" spans="1:12" x14ac:dyDescent="0.25">
      <c r="A30">
        <v>920</v>
      </c>
      <c r="B30">
        <v>0</v>
      </c>
      <c r="C30">
        <v>1</v>
      </c>
      <c r="D30" t="s">
        <v>72</v>
      </c>
      <c r="E30" t="s">
        <v>12</v>
      </c>
      <c r="F30">
        <v>41</v>
      </c>
      <c r="G30">
        <v>0</v>
      </c>
      <c r="H30">
        <v>0</v>
      </c>
      <c r="I30" t="s">
        <v>73</v>
      </c>
      <c r="J30" s="9">
        <v>30.5</v>
      </c>
      <c r="K30" t="s">
        <v>18</v>
      </c>
      <c r="L30">
        <v>1</v>
      </c>
    </row>
    <row r="31" spans="1:12" x14ac:dyDescent="0.25">
      <c r="A31">
        <v>921</v>
      </c>
      <c r="B31">
        <v>0</v>
      </c>
      <c r="C31">
        <v>3</v>
      </c>
      <c r="D31" t="s">
        <v>74</v>
      </c>
      <c r="E31" t="s">
        <v>12</v>
      </c>
      <c r="F31">
        <v>29</v>
      </c>
      <c r="G31">
        <v>2</v>
      </c>
      <c r="H31">
        <v>0</v>
      </c>
      <c r="I31" t="s">
        <v>75</v>
      </c>
      <c r="J31" s="9">
        <v>21.679200000000002</v>
      </c>
      <c r="K31" t="s">
        <v>33</v>
      </c>
      <c r="L31">
        <v>1</v>
      </c>
    </row>
    <row r="32" spans="1:12" x14ac:dyDescent="0.25">
      <c r="A32">
        <v>922</v>
      </c>
      <c r="B32">
        <v>0</v>
      </c>
      <c r="C32">
        <v>2</v>
      </c>
      <c r="D32" t="s">
        <v>76</v>
      </c>
      <c r="E32" t="s">
        <v>12</v>
      </c>
      <c r="F32">
        <v>50</v>
      </c>
      <c r="G32">
        <v>1</v>
      </c>
      <c r="H32">
        <v>0</v>
      </c>
      <c r="I32" t="s">
        <v>77</v>
      </c>
      <c r="J32" s="9">
        <v>26</v>
      </c>
      <c r="K32" t="s">
        <v>18</v>
      </c>
      <c r="L32">
        <v>1</v>
      </c>
    </row>
    <row r="33" spans="1:12" x14ac:dyDescent="0.25">
      <c r="A33">
        <v>923</v>
      </c>
      <c r="B33">
        <v>0</v>
      </c>
      <c r="C33">
        <v>2</v>
      </c>
      <c r="D33" t="s">
        <v>78</v>
      </c>
      <c r="E33" t="s">
        <v>12</v>
      </c>
      <c r="F33">
        <v>24</v>
      </c>
      <c r="G33">
        <v>2</v>
      </c>
      <c r="H33">
        <v>0</v>
      </c>
      <c r="I33" t="s">
        <v>79</v>
      </c>
      <c r="J33" s="9">
        <v>31.5</v>
      </c>
      <c r="K33" t="s">
        <v>18</v>
      </c>
      <c r="L33">
        <v>1</v>
      </c>
    </row>
    <row r="34" spans="1:12" x14ac:dyDescent="0.25">
      <c r="A34">
        <v>924</v>
      </c>
      <c r="B34">
        <v>1</v>
      </c>
      <c r="C34">
        <v>3</v>
      </c>
      <c r="D34" t="s">
        <v>80</v>
      </c>
      <c r="E34" t="s">
        <v>16</v>
      </c>
      <c r="F34">
        <v>33</v>
      </c>
      <c r="G34">
        <v>1</v>
      </c>
      <c r="H34">
        <v>2</v>
      </c>
      <c r="I34" t="s">
        <v>81</v>
      </c>
      <c r="J34" s="9">
        <v>20.574999999999999</v>
      </c>
      <c r="K34" t="s">
        <v>18</v>
      </c>
      <c r="L34">
        <v>1</v>
      </c>
    </row>
    <row r="35" spans="1:12" x14ac:dyDescent="0.25">
      <c r="A35">
        <v>925</v>
      </c>
      <c r="B35">
        <v>1</v>
      </c>
      <c r="C35">
        <v>3</v>
      </c>
      <c r="D35" t="s">
        <v>82</v>
      </c>
      <c r="E35" t="s">
        <v>16</v>
      </c>
      <c r="F35">
        <v>36</v>
      </c>
      <c r="G35">
        <v>1</v>
      </c>
      <c r="H35">
        <v>2</v>
      </c>
      <c r="I35" t="s">
        <v>83</v>
      </c>
      <c r="J35" s="9">
        <v>23.45</v>
      </c>
      <c r="K35" t="s">
        <v>18</v>
      </c>
      <c r="L35">
        <v>1</v>
      </c>
    </row>
    <row r="36" spans="1:12" x14ac:dyDescent="0.25">
      <c r="A36">
        <v>926</v>
      </c>
      <c r="B36">
        <v>0</v>
      </c>
      <c r="C36">
        <v>1</v>
      </c>
      <c r="D36" t="s">
        <v>84</v>
      </c>
      <c r="E36" t="s">
        <v>12</v>
      </c>
      <c r="F36">
        <v>30</v>
      </c>
      <c r="G36">
        <v>1</v>
      </c>
      <c r="H36">
        <v>0</v>
      </c>
      <c r="I36" t="s">
        <v>85</v>
      </c>
      <c r="J36" s="9">
        <v>57.75</v>
      </c>
      <c r="K36" t="s">
        <v>33</v>
      </c>
      <c r="L36">
        <v>1</v>
      </c>
    </row>
    <row r="37" spans="1:12" x14ac:dyDescent="0.25">
      <c r="A37">
        <v>927</v>
      </c>
      <c r="B37">
        <v>0</v>
      </c>
      <c r="C37">
        <v>3</v>
      </c>
      <c r="D37" t="s">
        <v>86</v>
      </c>
      <c r="E37" t="s">
        <v>12</v>
      </c>
      <c r="F37">
        <v>18.5</v>
      </c>
      <c r="G37">
        <v>0</v>
      </c>
      <c r="H37">
        <v>0</v>
      </c>
      <c r="I37" t="s">
        <v>87</v>
      </c>
      <c r="J37" s="9">
        <v>7.2291999999999996</v>
      </c>
      <c r="K37" t="s">
        <v>33</v>
      </c>
      <c r="L37">
        <v>1</v>
      </c>
    </row>
    <row r="38" spans="1:12" x14ac:dyDescent="0.25">
      <c r="A38">
        <v>928</v>
      </c>
      <c r="B38">
        <v>1</v>
      </c>
      <c r="C38">
        <v>3</v>
      </c>
      <c r="D38" t="s">
        <v>88</v>
      </c>
      <c r="E38" t="s">
        <v>16</v>
      </c>
      <c r="F38">
        <v>29</v>
      </c>
      <c r="G38">
        <v>0</v>
      </c>
      <c r="H38">
        <v>0</v>
      </c>
      <c r="I38" t="s">
        <v>89</v>
      </c>
      <c r="J38" s="9">
        <v>8.0500000000000007</v>
      </c>
      <c r="K38" t="s">
        <v>18</v>
      </c>
      <c r="L38">
        <v>1</v>
      </c>
    </row>
    <row r="39" spans="1:12" x14ac:dyDescent="0.25">
      <c r="A39">
        <v>929</v>
      </c>
      <c r="B39">
        <v>1</v>
      </c>
      <c r="C39">
        <v>3</v>
      </c>
      <c r="D39" t="s">
        <v>90</v>
      </c>
      <c r="E39" t="s">
        <v>16</v>
      </c>
      <c r="F39">
        <v>21</v>
      </c>
      <c r="G39">
        <v>0</v>
      </c>
      <c r="H39">
        <v>0</v>
      </c>
      <c r="I39" t="s">
        <v>91</v>
      </c>
      <c r="J39" s="9">
        <v>8.6624999999999996</v>
      </c>
      <c r="K39" t="s">
        <v>18</v>
      </c>
      <c r="L39">
        <v>1</v>
      </c>
    </row>
    <row r="40" spans="1:12" x14ac:dyDescent="0.25">
      <c r="A40">
        <v>930</v>
      </c>
      <c r="B40">
        <v>0</v>
      </c>
      <c r="C40">
        <v>3</v>
      </c>
      <c r="D40" t="s">
        <v>92</v>
      </c>
      <c r="E40" t="s">
        <v>12</v>
      </c>
      <c r="F40">
        <v>25</v>
      </c>
      <c r="G40">
        <v>0</v>
      </c>
      <c r="H40">
        <v>0</v>
      </c>
      <c r="I40" t="s">
        <v>93</v>
      </c>
      <c r="J40" s="9">
        <v>9.5</v>
      </c>
      <c r="K40" t="s">
        <v>18</v>
      </c>
      <c r="L40">
        <v>1</v>
      </c>
    </row>
    <row r="41" spans="1:12" x14ac:dyDescent="0.25">
      <c r="A41">
        <v>931</v>
      </c>
      <c r="B41">
        <v>0</v>
      </c>
      <c r="C41">
        <v>3</v>
      </c>
      <c r="D41" t="s">
        <v>94</v>
      </c>
      <c r="E41" t="s">
        <v>12</v>
      </c>
      <c r="F41">
        <v>40</v>
      </c>
      <c r="G41">
        <v>0</v>
      </c>
      <c r="H41">
        <v>0</v>
      </c>
      <c r="I41" t="s">
        <v>95</v>
      </c>
      <c r="J41" s="9">
        <v>56.495800000000003</v>
      </c>
      <c r="K41" t="s">
        <v>18</v>
      </c>
      <c r="L41">
        <v>1</v>
      </c>
    </row>
    <row r="42" spans="1:12" x14ac:dyDescent="0.25">
      <c r="A42">
        <v>932</v>
      </c>
      <c r="B42">
        <v>0</v>
      </c>
      <c r="C42">
        <v>3</v>
      </c>
      <c r="D42" t="s">
        <v>96</v>
      </c>
      <c r="E42" t="s">
        <v>12</v>
      </c>
      <c r="F42">
        <v>39</v>
      </c>
      <c r="G42">
        <v>0</v>
      </c>
      <c r="H42">
        <v>1</v>
      </c>
      <c r="I42" t="s">
        <v>97</v>
      </c>
      <c r="J42" s="9">
        <v>13.416700000000001</v>
      </c>
      <c r="K42" t="s">
        <v>33</v>
      </c>
      <c r="L42">
        <v>1</v>
      </c>
    </row>
    <row r="43" spans="1:12" x14ac:dyDescent="0.25">
      <c r="A43">
        <v>933</v>
      </c>
      <c r="B43">
        <v>0</v>
      </c>
      <c r="C43">
        <v>1</v>
      </c>
      <c r="D43" t="s">
        <v>98</v>
      </c>
      <c r="E43" t="s">
        <v>12</v>
      </c>
      <c r="F43">
        <v>25</v>
      </c>
      <c r="G43">
        <v>0</v>
      </c>
      <c r="H43">
        <v>0</v>
      </c>
      <c r="I43" t="s">
        <v>99</v>
      </c>
      <c r="J43" s="9">
        <v>26.55</v>
      </c>
      <c r="K43" t="s">
        <v>18</v>
      </c>
      <c r="L43">
        <v>1</v>
      </c>
    </row>
    <row r="44" spans="1:12" x14ac:dyDescent="0.25">
      <c r="A44">
        <v>934</v>
      </c>
      <c r="B44">
        <v>0</v>
      </c>
      <c r="C44">
        <v>3</v>
      </c>
      <c r="D44" t="s">
        <v>100</v>
      </c>
      <c r="E44" t="s">
        <v>12</v>
      </c>
      <c r="F44">
        <v>41</v>
      </c>
      <c r="G44">
        <v>0</v>
      </c>
      <c r="H44">
        <v>0</v>
      </c>
      <c r="I44" t="s">
        <v>101</v>
      </c>
      <c r="J44" s="9">
        <v>7.85</v>
      </c>
      <c r="K44" t="s">
        <v>18</v>
      </c>
      <c r="L44">
        <v>1</v>
      </c>
    </row>
    <row r="45" spans="1:12" x14ac:dyDescent="0.25">
      <c r="A45">
        <v>935</v>
      </c>
      <c r="B45">
        <v>1</v>
      </c>
      <c r="C45">
        <v>2</v>
      </c>
      <c r="D45" t="s">
        <v>102</v>
      </c>
      <c r="E45" t="s">
        <v>16</v>
      </c>
      <c r="F45">
        <v>30</v>
      </c>
      <c r="G45">
        <v>0</v>
      </c>
      <c r="H45">
        <v>0</v>
      </c>
      <c r="I45" t="s">
        <v>103</v>
      </c>
      <c r="J45" s="9">
        <v>13</v>
      </c>
      <c r="K45" t="s">
        <v>18</v>
      </c>
      <c r="L45">
        <v>1</v>
      </c>
    </row>
    <row r="46" spans="1:12" x14ac:dyDescent="0.25">
      <c r="A46">
        <v>936</v>
      </c>
      <c r="B46">
        <v>1</v>
      </c>
      <c r="C46">
        <v>1</v>
      </c>
      <c r="D46" t="s">
        <v>104</v>
      </c>
      <c r="E46" t="s">
        <v>16</v>
      </c>
      <c r="F46">
        <v>45</v>
      </c>
      <c r="G46">
        <v>1</v>
      </c>
      <c r="H46">
        <v>0</v>
      </c>
      <c r="I46" t="s">
        <v>105</v>
      </c>
      <c r="J46" s="9">
        <v>52.554200000000002</v>
      </c>
      <c r="K46" t="s">
        <v>18</v>
      </c>
      <c r="L46">
        <v>1</v>
      </c>
    </row>
    <row r="47" spans="1:12" x14ac:dyDescent="0.25">
      <c r="A47">
        <v>937</v>
      </c>
      <c r="B47">
        <v>0</v>
      </c>
      <c r="C47">
        <v>3</v>
      </c>
      <c r="D47" t="s">
        <v>106</v>
      </c>
      <c r="E47" t="s">
        <v>12</v>
      </c>
      <c r="F47">
        <v>25</v>
      </c>
      <c r="G47">
        <v>0</v>
      </c>
      <c r="H47">
        <v>0</v>
      </c>
      <c r="I47" t="s">
        <v>107</v>
      </c>
      <c r="J47" s="9">
        <v>7.9249999999999998</v>
      </c>
      <c r="K47" t="s">
        <v>18</v>
      </c>
      <c r="L47">
        <v>1</v>
      </c>
    </row>
    <row r="48" spans="1:12" x14ac:dyDescent="0.25">
      <c r="A48">
        <v>938</v>
      </c>
      <c r="B48">
        <v>0</v>
      </c>
      <c r="C48">
        <v>1</v>
      </c>
      <c r="D48" t="s">
        <v>108</v>
      </c>
      <c r="E48" t="s">
        <v>12</v>
      </c>
      <c r="F48">
        <v>45</v>
      </c>
      <c r="G48">
        <v>0</v>
      </c>
      <c r="H48">
        <v>0</v>
      </c>
      <c r="I48" t="s">
        <v>109</v>
      </c>
      <c r="J48" s="9">
        <v>29.7</v>
      </c>
      <c r="K48" t="s">
        <v>33</v>
      </c>
      <c r="L48">
        <v>1</v>
      </c>
    </row>
    <row r="49" spans="1:12" x14ac:dyDescent="0.25">
      <c r="A49">
        <v>939</v>
      </c>
      <c r="B49">
        <v>0</v>
      </c>
      <c r="C49">
        <v>3</v>
      </c>
      <c r="D49" t="s">
        <v>110</v>
      </c>
      <c r="E49" t="s">
        <v>12</v>
      </c>
      <c r="F49">
        <v>29</v>
      </c>
      <c r="G49">
        <v>0</v>
      </c>
      <c r="H49">
        <v>0</v>
      </c>
      <c r="I49" t="s">
        <v>111</v>
      </c>
      <c r="J49" s="9">
        <v>7.75</v>
      </c>
      <c r="K49" t="s">
        <v>14</v>
      </c>
      <c r="L49">
        <v>1</v>
      </c>
    </row>
    <row r="50" spans="1:12" x14ac:dyDescent="0.25">
      <c r="A50">
        <v>940</v>
      </c>
      <c r="B50">
        <v>1</v>
      </c>
      <c r="C50">
        <v>1</v>
      </c>
      <c r="D50" t="s">
        <v>112</v>
      </c>
      <c r="E50" t="s">
        <v>16</v>
      </c>
      <c r="F50">
        <v>60</v>
      </c>
      <c r="G50">
        <v>0</v>
      </c>
      <c r="H50">
        <v>0</v>
      </c>
      <c r="I50" t="s">
        <v>113</v>
      </c>
      <c r="J50" s="9">
        <v>76.291700000000006</v>
      </c>
      <c r="K50" t="s">
        <v>33</v>
      </c>
      <c r="L50">
        <v>1</v>
      </c>
    </row>
    <row r="51" spans="1:12" x14ac:dyDescent="0.25">
      <c r="A51">
        <v>941</v>
      </c>
      <c r="B51">
        <v>1</v>
      </c>
      <c r="C51">
        <v>3</v>
      </c>
      <c r="D51" t="s">
        <v>114</v>
      </c>
      <c r="E51" t="s">
        <v>16</v>
      </c>
      <c r="F51">
        <v>36</v>
      </c>
      <c r="G51">
        <v>0</v>
      </c>
      <c r="H51">
        <v>2</v>
      </c>
      <c r="I51" t="s">
        <v>115</v>
      </c>
      <c r="J51" s="9">
        <v>15.9</v>
      </c>
      <c r="K51" t="s">
        <v>18</v>
      </c>
      <c r="L51">
        <v>1</v>
      </c>
    </row>
    <row r="52" spans="1:12" x14ac:dyDescent="0.25">
      <c r="A52">
        <v>942</v>
      </c>
      <c r="B52">
        <v>0</v>
      </c>
      <c r="C52">
        <v>1</v>
      </c>
      <c r="D52" t="s">
        <v>116</v>
      </c>
      <c r="E52" t="s">
        <v>12</v>
      </c>
      <c r="F52">
        <v>24</v>
      </c>
      <c r="G52">
        <v>1</v>
      </c>
      <c r="H52">
        <v>0</v>
      </c>
      <c r="I52" t="s">
        <v>117</v>
      </c>
      <c r="J52" s="9">
        <v>60</v>
      </c>
      <c r="K52" t="s">
        <v>18</v>
      </c>
      <c r="L52">
        <v>1</v>
      </c>
    </row>
    <row r="53" spans="1:12" x14ac:dyDescent="0.25">
      <c r="A53">
        <v>943</v>
      </c>
      <c r="B53">
        <v>0</v>
      </c>
      <c r="C53">
        <v>2</v>
      </c>
      <c r="D53" t="s">
        <v>118</v>
      </c>
      <c r="E53" t="s">
        <v>12</v>
      </c>
      <c r="F53">
        <v>27</v>
      </c>
      <c r="G53">
        <v>0</v>
      </c>
      <c r="H53">
        <v>0</v>
      </c>
      <c r="I53" t="s">
        <v>119</v>
      </c>
      <c r="J53" s="9">
        <v>15.033300000000001</v>
      </c>
      <c r="K53" t="s">
        <v>33</v>
      </c>
      <c r="L53">
        <v>1</v>
      </c>
    </row>
    <row r="54" spans="1:12" x14ac:dyDescent="0.25">
      <c r="A54">
        <v>944</v>
      </c>
      <c r="B54">
        <v>1</v>
      </c>
      <c r="C54">
        <v>2</v>
      </c>
      <c r="D54" t="s">
        <v>120</v>
      </c>
      <c r="E54" t="s">
        <v>16</v>
      </c>
      <c r="F54">
        <v>20</v>
      </c>
      <c r="G54">
        <v>2</v>
      </c>
      <c r="H54">
        <v>1</v>
      </c>
      <c r="I54" t="s">
        <v>121</v>
      </c>
      <c r="J54" s="9">
        <v>23</v>
      </c>
      <c r="K54" t="s">
        <v>18</v>
      </c>
      <c r="L54">
        <v>1</v>
      </c>
    </row>
    <row r="55" spans="1:12" x14ac:dyDescent="0.25">
      <c r="A55">
        <v>945</v>
      </c>
      <c r="B55">
        <v>1</v>
      </c>
      <c r="C55">
        <v>1</v>
      </c>
      <c r="D55" t="s">
        <v>122</v>
      </c>
      <c r="E55" t="s">
        <v>16</v>
      </c>
      <c r="F55">
        <v>28</v>
      </c>
      <c r="G55">
        <v>3</v>
      </c>
      <c r="H55">
        <v>2</v>
      </c>
      <c r="I55" t="s">
        <v>123</v>
      </c>
      <c r="J55" s="9">
        <v>22</v>
      </c>
      <c r="K55" t="s">
        <v>18</v>
      </c>
      <c r="L55">
        <v>1</v>
      </c>
    </row>
    <row r="56" spans="1:12" x14ac:dyDescent="0.25">
      <c r="A56">
        <v>946</v>
      </c>
      <c r="B56">
        <v>0</v>
      </c>
      <c r="C56">
        <v>2</v>
      </c>
      <c r="D56" t="s">
        <v>124</v>
      </c>
      <c r="E56" t="s">
        <v>12</v>
      </c>
      <c r="F56">
        <v>28</v>
      </c>
      <c r="G56">
        <v>0</v>
      </c>
      <c r="H56">
        <v>0</v>
      </c>
      <c r="I56" t="s">
        <v>125</v>
      </c>
      <c r="J56" s="9">
        <v>15.5792</v>
      </c>
      <c r="K56" t="s">
        <v>33</v>
      </c>
      <c r="L56">
        <v>1</v>
      </c>
    </row>
    <row r="57" spans="1:12" x14ac:dyDescent="0.25">
      <c r="A57">
        <v>947</v>
      </c>
      <c r="B57">
        <v>0</v>
      </c>
      <c r="C57">
        <v>3</v>
      </c>
      <c r="D57" t="s">
        <v>126</v>
      </c>
      <c r="E57" t="s">
        <v>12</v>
      </c>
      <c r="F57">
        <v>10</v>
      </c>
      <c r="G57">
        <v>4</v>
      </c>
      <c r="H57">
        <v>1</v>
      </c>
      <c r="I57" t="s">
        <v>127</v>
      </c>
      <c r="J57" s="9">
        <v>29.125</v>
      </c>
      <c r="K57" t="s">
        <v>14</v>
      </c>
      <c r="L57">
        <v>1</v>
      </c>
    </row>
    <row r="58" spans="1:12" x14ac:dyDescent="0.25">
      <c r="A58">
        <v>948</v>
      </c>
      <c r="B58">
        <v>0</v>
      </c>
      <c r="C58">
        <v>3</v>
      </c>
      <c r="D58" t="s">
        <v>128</v>
      </c>
      <c r="E58" t="s">
        <v>12</v>
      </c>
      <c r="F58">
        <v>35</v>
      </c>
      <c r="G58">
        <v>0</v>
      </c>
      <c r="H58">
        <v>0</v>
      </c>
      <c r="I58" t="s">
        <v>129</v>
      </c>
      <c r="J58" s="9">
        <v>7.8958000000000004</v>
      </c>
      <c r="K58" t="s">
        <v>18</v>
      </c>
      <c r="L58">
        <v>1</v>
      </c>
    </row>
    <row r="59" spans="1:12" x14ac:dyDescent="0.25">
      <c r="A59">
        <v>949</v>
      </c>
      <c r="B59">
        <v>0</v>
      </c>
      <c r="C59">
        <v>3</v>
      </c>
      <c r="D59" t="s">
        <v>130</v>
      </c>
      <c r="E59" t="s">
        <v>12</v>
      </c>
      <c r="F59">
        <v>25</v>
      </c>
      <c r="G59">
        <v>0</v>
      </c>
      <c r="H59">
        <v>0</v>
      </c>
      <c r="I59" t="s">
        <v>131</v>
      </c>
      <c r="J59" s="9">
        <v>7.65</v>
      </c>
      <c r="K59" t="s">
        <v>18</v>
      </c>
      <c r="L59">
        <v>1</v>
      </c>
    </row>
    <row r="60" spans="1:12" x14ac:dyDescent="0.25">
      <c r="A60">
        <v>950</v>
      </c>
      <c r="B60">
        <v>0</v>
      </c>
      <c r="C60">
        <v>3</v>
      </c>
      <c r="D60" t="s">
        <v>132</v>
      </c>
      <c r="E60" t="s">
        <v>12</v>
      </c>
      <c r="F60">
        <v>37</v>
      </c>
      <c r="G60">
        <v>1</v>
      </c>
      <c r="H60">
        <v>0</v>
      </c>
      <c r="I60" t="s">
        <v>133</v>
      </c>
      <c r="J60" s="9">
        <v>16.100000000000001</v>
      </c>
      <c r="K60" t="s">
        <v>18</v>
      </c>
      <c r="L60">
        <v>1</v>
      </c>
    </row>
    <row r="61" spans="1:12" x14ac:dyDescent="0.25">
      <c r="A61">
        <v>951</v>
      </c>
      <c r="B61">
        <v>1</v>
      </c>
      <c r="C61">
        <v>1</v>
      </c>
      <c r="D61" t="s">
        <v>134</v>
      </c>
      <c r="E61" t="s">
        <v>16</v>
      </c>
      <c r="F61">
        <v>36</v>
      </c>
      <c r="G61">
        <v>0</v>
      </c>
      <c r="H61">
        <v>0</v>
      </c>
      <c r="I61" t="s">
        <v>65</v>
      </c>
      <c r="J61" s="9">
        <v>43</v>
      </c>
      <c r="K61" t="s">
        <v>33</v>
      </c>
      <c r="L61">
        <v>1</v>
      </c>
    </row>
    <row r="62" spans="1:12" x14ac:dyDescent="0.25">
      <c r="A62">
        <v>952</v>
      </c>
      <c r="B62">
        <v>0</v>
      </c>
      <c r="C62">
        <v>3</v>
      </c>
      <c r="D62" t="s">
        <v>135</v>
      </c>
      <c r="E62" t="s">
        <v>12</v>
      </c>
      <c r="F62">
        <v>17</v>
      </c>
      <c r="G62">
        <v>0</v>
      </c>
      <c r="H62">
        <v>0</v>
      </c>
      <c r="I62" t="s">
        <v>136</v>
      </c>
      <c r="J62" s="9">
        <v>7.8958000000000004</v>
      </c>
      <c r="K62" t="s">
        <v>18</v>
      </c>
      <c r="L62">
        <v>1</v>
      </c>
    </row>
    <row r="63" spans="1:12" x14ac:dyDescent="0.25">
      <c r="A63">
        <v>953</v>
      </c>
      <c r="B63">
        <v>0</v>
      </c>
      <c r="C63">
        <v>2</v>
      </c>
      <c r="D63" t="s">
        <v>137</v>
      </c>
      <c r="E63" t="s">
        <v>12</v>
      </c>
      <c r="F63">
        <v>32</v>
      </c>
      <c r="G63">
        <v>0</v>
      </c>
      <c r="H63">
        <v>0</v>
      </c>
      <c r="I63" t="s">
        <v>138</v>
      </c>
      <c r="J63" s="9">
        <v>13.5</v>
      </c>
      <c r="K63" t="s">
        <v>18</v>
      </c>
      <c r="L63">
        <v>1</v>
      </c>
    </row>
    <row r="64" spans="1:12" x14ac:dyDescent="0.25">
      <c r="A64">
        <v>954</v>
      </c>
      <c r="B64">
        <v>0</v>
      </c>
      <c r="C64">
        <v>3</v>
      </c>
      <c r="D64" t="s">
        <v>139</v>
      </c>
      <c r="E64" t="s">
        <v>12</v>
      </c>
      <c r="F64">
        <v>18</v>
      </c>
      <c r="G64">
        <v>0</v>
      </c>
      <c r="H64">
        <v>0</v>
      </c>
      <c r="I64" t="s">
        <v>140</v>
      </c>
      <c r="J64" s="9">
        <v>7.75</v>
      </c>
      <c r="K64" t="s">
        <v>18</v>
      </c>
      <c r="L64">
        <v>1</v>
      </c>
    </row>
    <row r="65" spans="1:12" x14ac:dyDescent="0.25">
      <c r="A65">
        <v>955</v>
      </c>
      <c r="B65">
        <v>1</v>
      </c>
      <c r="C65">
        <v>3</v>
      </c>
      <c r="D65" t="s">
        <v>141</v>
      </c>
      <c r="E65" t="s">
        <v>16</v>
      </c>
      <c r="F65">
        <v>22</v>
      </c>
      <c r="G65">
        <v>0</v>
      </c>
      <c r="H65">
        <v>0</v>
      </c>
      <c r="I65" t="s">
        <v>142</v>
      </c>
      <c r="J65" s="9">
        <v>7.7249999999999996</v>
      </c>
      <c r="K65" t="s">
        <v>14</v>
      </c>
      <c r="L65">
        <v>1</v>
      </c>
    </row>
    <row r="66" spans="1:12" x14ac:dyDescent="0.25">
      <c r="A66">
        <v>956</v>
      </c>
      <c r="B66">
        <v>0</v>
      </c>
      <c r="C66">
        <v>1</v>
      </c>
      <c r="D66" t="s">
        <v>143</v>
      </c>
      <c r="E66" t="s">
        <v>12</v>
      </c>
      <c r="F66">
        <v>13</v>
      </c>
      <c r="G66">
        <v>2</v>
      </c>
      <c r="H66">
        <v>2</v>
      </c>
      <c r="I66" t="s">
        <v>65</v>
      </c>
      <c r="J66" s="9">
        <v>49</v>
      </c>
      <c r="K66" t="s">
        <v>33</v>
      </c>
      <c r="L66">
        <v>1</v>
      </c>
    </row>
    <row r="67" spans="1:12" x14ac:dyDescent="0.25">
      <c r="A67">
        <v>957</v>
      </c>
      <c r="B67">
        <v>1</v>
      </c>
      <c r="C67">
        <v>2</v>
      </c>
      <c r="D67" t="s">
        <v>144</v>
      </c>
      <c r="E67" t="s">
        <v>16</v>
      </c>
      <c r="F67">
        <v>36</v>
      </c>
      <c r="G67">
        <v>0</v>
      </c>
      <c r="H67">
        <v>0</v>
      </c>
      <c r="I67" t="s">
        <v>145</v>
      </c>
      <c r="J67" s="9">
        <v>21</v>
      </c>
      <c r="K67" t="s">
        <v>18</v>
      </c>
      <c r="L67">
        <v>1</v>
      </c>
    </row>
    <row r="68" spans="1:12" x14ac:dyDescent="0.25">
      <c r="A68">
        <v>958</v>
      </c>
      <c r="B68">
        <v>1</v>
      </c>
      <c r="C68">
        <v>3</v>
      </c>
      <c r="D68" t="s">
        <v>146</v>
      </c>
      <c r="E68" t="s">
        <v>16</v>
      </c>
      <c r="F68">
        <v>18</v>
      </c>
      <c r="G68">
        <v>0</v>
      </c>
      <c r="H68">
        <v>0</v>
      </c>
      <c r="I68" t="s">
        <v>147</v>
      </c>
      <c r="J68" s="9">
        <v>7.8792</v>
      </c>
      <c r="K68" t="s">
        <v>14</v>
      </c>
      <c r="L68">
        <v>1</v>
      </c>
    </row>
    <row r="69" spans="1:12" x14ac:dyDescent="0.25">
      <c r="A69">
        <v>959</v>
      </c>
      <c r="B69">
        <v>0</v>
      </c>
      <c r="C69">
        <v>1</v>
      </c>
      <c r="D69" t="s">
        <v>148</v>
      </c>
      <c r="E69" t="s">
        <v>12</v>
      </c>
      <c r="F69">
        <v>47</v>
      </c>
      <c r="G69">
        <v>0</v>
      </c>
      <c r="H69">
        <v>0</v>
      </c>
      <c r="I69" t="s">
        <v>149</v>
      </c>
      <c r="J69" s="9">
        <v>42.4</v>
      </c>
      <c r="K69" t="s">
        <v>18</v>
      </c>
      <c r="L69">
        <v>1</v>
      </c>
    </row>
    <row r="70" spans="1:12" x14ac:dyDescent="0.25">
      <c r="A70">
        <v>960</v>
      </c>
      <c r="B70">
        <v>0</v>
      </c>
      <c r="C70">
        <v>1</v>
      </c>
      <c r="D70" t="s">
        <v>150</v>
      </c>
      <c r="E70" t="s">
        <v>12</v>
      </c>
      <c r="F70">
        <v>31</v>
      </c>
      <c r="G70">
        <v>0</v>
      </c>
      <c r="H70">
        <v>0</v>
      </c>
      <c r="I70" t="s">
        <v>151</v>
      </c>
      <c r="J70" s="9">
        <v>28.537500000000001</v>
      </c>
      <c r="K70" t="s">
        <v>33</v>
      </c>
      <c r="L70">
        <v>1</v>
      </c>
    </row>
    <row r="71" spans="1:12" x14ac:dyDescent="0.25">
      <c r="A71">
        <v>961</v>
      </c>
      <c r="B71">
        <v>1</v>
      </c>
      <c r="C71">
        <v>1</v>
      </c>
      <c r="D71" t="s">
        <v>152</v>
      </c>
      <c r="E71" t="s">
        <v>16</v>
      </c>
      <c r="F71">
        <v>60</v>
      </c>
      <c r="G71">
        <v>1</v>
      </c>
      <c r="H71">
        <v>4</v>
      </c>
      <c r="I71" t="s">
        <v>123</v>
      </c>
      <c r="J71" s="9">
        <v>55</v>
      </c>
      <c r="K71" t="s">
        <v>18</v>
      </c>
      <c r="L71">
        <v>1</v>
      </c>
    </row>
    <row r="72" spans="1:12" x14ac:dyDescent="0.25">
      <c r="A72">
        <v>962</v>
      </c>
      <c r="B72">
        <v>1</v>
      </c>
      <c r="C72">
        <v>3</v>
      </c>
      <c r="D72" t="s">
        <v>153</v>
      </c>
      <c r="E72" t="s">
        <v>16</v>
      </c>
      <c r="F72">
        <v>24</v>
      </c>
      <c r="G72">
        <v>0</v>
      </c>
      <c r="H72">
        <v>0</v>
      </c>
      <c r="I72" t="s">
        <v>154</v>
      </c>
      <c r="J72" s="9">
        <v>7.75</v>
      </c>
      <c r="K72" t="s">
        <v>14</v>
      </c>
      <c r="L72">
        <v>1</v>
      </c>
    </row>
    <row r="73" spans="1:12" x14ac:dyDescent="0.25">
      <c r="A73">
        <v>963</v>
      </c>
      <c r="B73">
        <v>0</v>
      </c>
      <c r="C73">
        <v>3</v>
      </c>
      <c r="D73" t="s">
        <v>155</v>
      </c>
      <c r="E73" t="s">
        <v>12</v>
      </c>
      <c r="F73">
        <v>21</v>
      </c>
      <c r="G73">
        <v>0</v>
      </c>
      <c r="H73">
        <v>0</v>
      </c>
      <c r="I73" t="s">
        <v>156</v>
      </c>
      <c r="J73" s="9">
        <v>7.8958000000000004</v>
      </c>
      <c r="K73" t="s">
        <v>18</v>
      </c>
      <c r="L73">
        <v>1</v>
      </c>
    </row>
    <row r="74" spans="1:12" x14ac:dyDescent="0.25">
      <c r="A74">
        <v>964</v>
      </c>
      <c r="B74">
        <v>1</v>
      </c>
      <c r="C74">
        <v>3</v>
      </c>
      <c r="D74" t="s">
        <v>157</v>
      </c>
      <c r="E74" t="s">
        <v>16</v>
      </c>
      <c r="F74">
        <v>29</v>
      </c>
      <c r="G74">
        <v>0</v>
      </c>
      <c r="H74">
        <v>0</v>
      </c>
      <c r="I74" t="s">
        <v>158</v>
      </c>
      <c r="J74" s="9">
        <v>7.9249999999999998</v>
      </c>
      <c r="K74" t="s">
        <v>18</v>
      </c>
      <c r="L74">
        <v>1</v>
      </c>
    </row>
    <row r="75" spans="1:12" x14ac:dyDescent="0.25">
      <c r="A75">
        <v>965</v>
      </c>
      <c r="B75">
        <v>0</v>
      </c>
      <c r="C75">
        <v>1</v>
      </c>
      <c r="D75" t="s">
        <v>159</v>
      </c>
      <c r="E75" t="s">
        <v>12</v>
      </c>
      <c r="F75">
        <v>28.5</v>
      </c>
      <c r="G75">
        <v>0</v>
      </c>
      <c r="H75">
        <v>0</v>
      </c>
      <c r="I75" t="s">
        <v>160</v>
      </c>
      <c r="J75" s="9">
        <v>27.720800000000001</v>
      </c>
      <c r="K75" t="s">
        <v>33</v>
      </c>
      <c r="L75">
        <v>1</v>
      </c>
    </row>
    <row r="76" spans="1:12" x14ac:dyDescent="0.25">
      <c r="A76">
        <v>966</v>
      </c>
      <c r="B76">
        <v>1</v>
      </c>
      <c r="C76">
        <v>1</v>
      </c>
      <c r="D76" t="s">
        <v>161</v>
      </c>
      <c r="E76" t="s">
        <v>16</v>
      </c>
      <c r="F76">
        <v>35</v>
      </c>
      <c r="G76">
        <v>0</v>
      </c>
      <c r="H76">
        <v>0</v>
      </c>
      <c r="I76" t="s">
        <v>162</v>
      </c>
      <c r="J76" s="9">
        <v>38</v>
      </c>
      <c r="K76" t="s">
        <v>33</v>
      </c>
      <c r="L76">
        <v>1</v>
      </c>
    </row>
    <row r="77" spans="1:12" x14ac:dyDescent="0.25">
      <c r="A77">
        <v>967</v>
      </c>
      <c r="B77">
        <v>0</v>
      </c>
      <c r="C77">
        <v>1</v>
      </c>
      <c r="D77" t="s">
        <v>163</v>
      </c>
      <c r="E77" t="s">
        <v>12</v>
      </c>
      <c r="F77">
        <v>32.5</v>
      </c>
      <c r="G77">
        <v>0</v>
      </c>
      <c r="H77">
        <v>0</v>
      </c>
      <c r="I77" t="s">
        <v>162</v>
      </c>
      <c r="J77" s="9">
        <v>41</v>
      </c>
      <c r="K77" t="s">
        <v>33</v>
      </c>
      <c r="L77">
        <v>1</v>
      </c>
    </row>
    <row r="78" spans="1:12" x14ac:dyDescent="0.25">
      <c r="A78">
        <v>968</v>
      </c>
      <c r="B78">
        <v>0</v>
      </c>
      <c r="C78">
        <v>3</v>
      </c>
      <c r="D78" t="s">
        <v>164</v>
      </c>
      <c r="E78" t="s">
        <v>12</v>
      </c>
      <c r="F78">
        <v>49</v>
      </c>
      <c r="G78">
        <v>0</v>
      </c>
      <c r="H78">
        <v>0</v>
      </c>
      <c r="I78" t="s">
        <v>165</v>
      </c>
      <c r="J78" s="9">
        <v>8.0500000000000007</v>
      </c>
      <c r="K78" t="s">
        <v>18</v>
      </c>
      <c r="L78">
        <v>1</v>
      </c>
    </row>
    <row r="79" spans="1:12" x14ac:dyDescent="0.25">
      <c r="A79">
        <v>969</v>
      </c>
      <c r="B79">
        <v>1</v>
      </c>
      <c r="C79">
        <v>1</v>
      </c>
      <c r="D79" t="s">
        <v>166</v>
      </c>
      <c r="E79" t="s">
        <v>16</v>
      </c>
      <c r="F79">
        <v>55</v>
      </c>
      <c r="G79">
        <v>2</v>
      </c>
      <c r="H79">
        <v>0</v>
      </c>
      <c r="I79" t="s">
        <v>167</v>
      </c>
      <c r="J79" s="9">
        <v>25.7</v>
      </c>
      <c r="K79" t="s">
        <v>18</v>
      </c>
      <c r="L79">
        <v>1</v>
      </c>
    </row>
    <row r="80" spans="1:12" x14ac:dyDescent="0.25">
      <c r="A80">
        <v>970</v>
      </c>
      <c r="B80">
        <v>0</v>
      </c>
      <c r="C80">
        <v>2</v>
      </c>
      <c r="D80" t="s">
        <v>168</v>
      </c>
      <c r="E80" t="s">
        <v>12</v>
      </c>
      <c r="F80">
        <v>30</v>
      </c>
      <c r="G80">
        <v>0</v>
      </c>
      <c r="H80">
        <v>0</v>
      </c>
      <c r="I80" t="s">
        <v>169</v>
      </c>
      <c r="J80" s="9">
        <v>13</v>
      </c>
      <c r="K80" t="s">
        <v>18</v>
      </c>
      <c r="L80">
        <v>1</v>
      </c>
    </row>
    <row r="81" spans="1:12" x14ac:dyDescent="0.25">
      <c r="A81">
        <v>971</v>
      </c>
      <c r="B81">
        <v>1</v>
      </c>
      <c r="C81">
        <v>3</v>
      </c>
      <c r="D81" t="s">
        <v>170</v>
      </c>
      <c r="E81" t="s">
        <v>16</v>
      </c>
      <c r="F81">
        <v>24</v>
      </c>
      <c r="G81">
        <v>0</v>
      </c>
      <c r="H81">
        <v>0</v>
      </c>
      <c r="I81" t="s">
        <v>171</v>
      </c>
      <c r="J81" s="9">
        <v>7.75</v>
      </c>
      <c r="K81" t="s">
        <v>14</v>
      </c>
      <c r="L81">
        <v>1</v>
      </c>
    </row>
    <row r="82" spans="1:12" x14ac:dyDescent="0.25">
      <c r="A82">
        <v>972</v>
      </c>
      <c r="B82">
        <v>0</v>
      </c>
      <c r="C82">
        <v>3</v>
      </c>
      <c r="D82" t="s">
        <v>172</v>
      </c>
      <c r="E82" t="s">
        <v>12</v>
      </c>
      <c r="F82">
        <v>6</v>
      </c>
      <c r="G82">
        <v>1</v>
      </c>
      <c r="H82">
        <v>1</v>
      </c>
      <c r="I82" t="s">
        <v>173</v>
      </c>
      <c r="J82" s="9">
        <v>15.245799999999999</v>
      </c>
      <c r="K82" t="s">
        <v>33</v>
      </c>
      <c r="L82">
        <v>1</v>
      </c>
    </row>
    <row r="83" spans="1:12" x14ac:dyDescent="0.25">
      <c r="A83">
        <v>973</v>
      </c>
      <c r="B83">
        <v>0</v>
      </c>
      <c r="C83">
        <v>1</v>
      </c>
      <c r="D83" t="s">
        <v>174</v>
      </c>
      <c r="E83" t="s">
        <v>12</v>
      </c>
      <c r="F83">
        <v>67</v>
      </c>
      <c r="G83">
        <v>1</v>
      </c>
      <c r="H83">
        <v>0</v>
      </c>
      <c r="I83" t="s">
        <v>175</v>
      </c>
      <c r="J83" s="9">
        <v>21</v>
      </c>
      <c r="K83" t="s">
        <v>18</v>
      </c>
      <c r="L83">
        <v>1</v>
      </c>
    </row>
    <row r="84" spans="1:12" x14ac:dyDescent="0.25">
      <c r="A84">
        <v>974</v>
      </c>
      <c r="B84">
        <v>0</v>
      </c>
      <c r="C84">
        <v>1</v>
      </c>
      <c r="D84" t="s">
        <v>176</v>
      </c>
      <c r="E84" t="s">
        <v>12</v>
      </c>
      <c r="F84">
        <v>49</v>
      </c>
      <c r="G84">
        <v>0</v>
      </c>
      <c r="H84">
        <v>0</v>
      </c>
      <c r="I84" t="s">
        <v>177</v>
      </c>
      <c r="J84" s="9">
        <v>26</v>
      </c>
      <c r="K84" t="s">
        <v>18</v>
      </c>
      <c r="L84">
        <v>1</v>
      </c>
    </row>
    <row r="85" spans="1:12" x14ac:dyDescent="0.25">
      <c r="A85">
        <v>975</v>
      </c>
      <c r="B85">
        <v>0</v>
      </c>
      <c r="C85">
        <v>3</v>
      </c>
      <c r="D85" t="s">
        <v>178</v>
      </c>
      <c r="E85" t="s">
        <v>12</v>
      </c>
      <c r="F85">
        <v>20</v>
      </c>
      <c r="G85">
        <v>0</v>
      </c>
      <c r="H85">
        <v>0</v>
      </c>
      <c r="I85" t="s">
        <v>179</v>
      </c>
      <c r="J85" s="9">
        <v>7.8958000000000004</v>
      </c>
      <c r="K85" t="s">
        <v>18</v>
      </c>
      <c r="L85">
        <v>1</v>
      </c>
    </row>
    <row r="86" spans="1:12" x14ac:dyDescent="0.25">
      <c r="A86">
        <v>976</v>
      </c>
      <c r="B86">
        <v>0</v>
      </c>
      <c r="C86">
        <v>2</v>
      </c>
      <c r="D86" t="s">
        <v>180</v>
      </c>
      <c r="E86" t="s">
        <v>12</v>
      </c>
      <c r="F86">
        <v>45</v>
      </c>
      <c r="G86">
        <v>0</v>
      </c>
      <c r="H86">
        <v>0</v>
      </c>
      <c r="I86" t="s">
        <v>181</v>
      </c>
      <c r="J86" s="9">
        <v>10.708299999999999</v>
      </c>
      <c r="K86" t="s">
        <v>14</v>
      </c>
      <c r="L86">
        <v>1</v>
      </c>
    </row>
    <row r="87" spans="1:12" x14ac:dyDescent="0.25">
      <c r="A87">
        <v>977</v>
      </c>
      <c r="B87">
        <v>0</v>
      </c>
      <c r="C87">
        <v>3</v>
      </c>
      <c r="D87" t="s">
        <v>182</v>
      </c>
      <c r="E87" t="s">
        <v>12</v>
      </c>
      <c r="F87">
        <v>20</v>
      </c>
      <c r="G87">
        <v>1</v>
      </c>
      <c r="H87">
        <v>0</v>
      </c>
      <c r="I87" t="s">
        <v>183</v>
      </c>
      <c r="J87" s="9">
        <v>14.4542</v>
      </c>
      <c r="K87" t="s">
        <v>33</v>
      </c>
      <c r="L87">
        <v>1</v>
      </c>
    </row>
    <row r="88" spans="1:12" x14ac:dyDescent="0.25">
      <c r="A88">
        <v>978</v>
      </c>
      <c r="B88">
        <v>1</v>
      </c>
      <c r="C88">
        <v>3</v>
      </c>
      <c r="D88" t="s">
        <v>184</v>
      </c>
      <c r="E88" t="s">
        <v>16</v>
      </c>
      <c r="F88">
        <v>27</v>
      </c>
      <c r="G88">
        <v>0</v>
      </c>
      <c r="H88">
        <v>0</v>
      </c>
      <c r="I88" t="s">
        <v>185</v>
      </c>
      <c r="J88" s="9">
        <v>7.8792</v>
      </c>
      <c r="K88" t="s">
        <v>14</v>
      </c>
      <c r="L88">
        <v>1</v>
      </c>
    </row>
    <row r="89" spans="1:12" x14ac:dyDescent="0.25">
      <c r="A89">
        <v>979</v>
      </c>
      <c r="B89">
        <v>1</v>
      </c>
      <c r="C89">
        <v>3</v>
      </c>
      <c r="D89" t="s">
        <v>186</v>
      </c>
      <c r="E89" t="s">
        <v>16</v>
      </c>
      <c r="F89">
        <v>18</v>
      </c>
      <c r="G89">
        <v>0</v>
      </c>
      <c r="H89">
        <v>0</v>
      </c>
      <c r="I89" t="s">
        <v>187</v>
      </c>
      <c r="J89" s="9">
        <v>8.0500000000000007</v>
      </c>
      <c r="K89" t="s">
        <v>18</v>
      </c>
      <c r="L89">
        <v>1</v>
      </c>
    </row>
    <row r="90" spans="1:12" x14ac:dyDescent="0.25">
      <c r="A90">
        <v>980</v>
      </c>
      <c r="B90">
        <v>1</v>
      </c>
      <c r="C90">
        <v>3</v>
      </c>
      <c r="D90" t="s">
        <v>188</v>
      </c>
      <c r="E90" t="s">
        <v>16</v>
      </c>
      <c r="F90">
        <v>32</v>
      </c>
      <c r="G90">
        <v>0</v>
      </c>
      <c r="H90">
        <v>0</v>
      </c>
      <c r="I90" t="s">
        <v>189</v>
      </c>
      <c r="J90" s="9">
        <v>7.75</v>
      </c>
      <c r="K90" t="s">
        <v>14</v>
      </c>
      <c r="L90">
        <v>1</v>
      </c>
    </row>
    <row r="91" spans="1:12" x14ac:dyDescent="0.25">
      <c r="A91">
        <v>981</v>
      </c>
      <c r="B91">
        <v>0</v>
      </c>
      <c r="C91">
        <v>2</v>
      </c>
      <c r="D91" t="s">
        <v>190</v>
      </c>
      <c r="E91" t="s">
        <v>12</v>
      </c>
      <c r="F91">
        <v>2</v>
      </c>
      <c r="G91">
        <v>1</v>
      </c>
      <c r="H91">
        <v>1</v>
      </c>
      <c r="I91" t="s">
        <v>191</v>
      </c>
      <c r="J91" s="9">
        <v>23</v>
      </c>
      <c r="K91" t="s">
        <v>18</v>
      </c>
      <c r="L91">
        <v>1</v>
      </c>
    </row>
    <row r="92" spans="1:12" x14ac:dyDescent="0.25">
      <c r="A92">
        <v>982</v>
      </c>
      <c r="B92">
        <v>1</v>
      </c>
      <c r="C92">
        <v>3</v>
      </c>
      <c r="D92" t="s">
        <v>192</v>
      </c>
      <c r="E92" t="s">
        <v>16</v>
      </c>
      <c r="F92">
        <v>22</v>
      </c>
      <c r="G92">
        <v>1</v>
      </c>
      <c r="H92">
        <v>0</v>
      </c>
      <c r="I92" t="s">
        <v>193</v>
      </c>
      <c r="J92" s="9">
        <v>13.9</v>
      </c>
      <c r="K92" t="s">
        <v>18</v>
      </c>
      <c r="L92">
        <v>1</v>
      </c>
    </row>
    <row r="93" spans="1:12" x14ac:dyDescent="0.25">
      <c r="A93">
        <v>983</v>
      </c>
      <c r="B93">
        <v>0</v>
      </c>
      <c r="C93">
        <v>3</v>
      </c>
      <c r="D93" t="s">
        <v>194</v>
      </c>
      <c r="E93" t="s">
        <v>12</v>
      </c>
      <c r="F93">
        <v>21</v>
      </c>
      <c r="G93">
        <v>0</v>
      </c>
      <c r="H93">
        <v>0</v>
      </c>
      <c r="I93" t="s">
        <v>195</v>
      </c>
      <c r="J93" s="9">
        <v>7.7750000000000004</v>
      </c>
      <c r="K93" t="s">
        <v>18</v>
      </c>
      <c r="L93">
        <v>1</v>
      </c>
    </row>
    <row r="94" spans="1:12" x14ac:dyDescent="0.25">
      <c r="A94">
        <v>984</v>
      </c>
      <c r="B94">
        <v>1</v>
      </c>
      <c r="C94">
        <v>1</v>
      </c>
      <c r="D94" t="s">
        <v>196</v>
      </c>
      <c r="E94" t="s">
        <v>16</v>
      </c>
      <c r="F94">
        <v>27</v>
      </c>
      <c r="G94">
        <v>1</v>
      </c>
      <c r="H94">
        <v>2</v>
      </c>
      <c r="I94" t="s">
        <v>197</v>
      </c>
      <c r="J94" s="9">
        <v>52</v>
      </c>
      <c r="K94" t="s">
        <v>18</v>
      </c>
      <c r="L94">
        <v>1</v>
      </c>
    </row>
    <row r="95" spans="1:12" x14ac:dyDescent="0.25">
      <c r="A95">
        <v>985</v>
      </c>
      <c r="B95">
        <v>0</v>
      </c>
      <c r="C95">
        <v>3</v>
      </c>
      <c r="D95" t="s">
        <v>198</v>
      </c>
      <c r="E95" t="s">
        <v>12</v>
      </c>
      <c r="F95">
        <v>31</v>
      </c>
      <c r="G95">
        <v>0</v>
      </c>
      <c r="H95">
        <v>0</v>
      </c>
      <c r="I95" t="s">
        <v>199</v>
      </c>
      <c r="J95" s="9">
        <v>8.0500000000000007</v>
      </c>
      <c r="K95" t="s">
        <v>18</v>
      </c>
      <c r="L95">
        <v>1</v>
      </c>
    </row>
    <row r="96" spans="1:12" x14ac:dyDescent="0.25">
      <c r="A96">
        <v>986</v>
      </c>
      <c r="B96">
        <v>0</v>
      </c>
      <c r="C96">
        <v>1</v>
      </c>
      <c r="D96" t="s">
        <v>200</v>
      </c>
      <c r="E96" t="s">
        <v>12</v>
      </c>
      <c r="F96">
        <v>25</v>
      </c>
      <c r="G96">
        <v>0</v>
      </c>
      <c r="H96">
        <v>0</v>
      </c>
      <c r="I96" t="s">
        <v>201</v>
      </c>
      <c r="J96" s="9">
        <v>26</v>
      </c>
      <c r="K96" t="s">
        <v>33</v>
      </c>
      <c r="L96">
        <v>1</v>
      </c>
    </row>
    <row r="97" spans="1:12" x14ac:dyDescent="0.25">
      <c r="A97">
        <v>987</v>
      </c>
      <c r="B97">
        <v>0</v>
      </c>
      <c r="C97">
        <v>3</v>
      </c>
      <c r="D97" t="s">
        <v>202</v>
      </c>
      <c r="E97" t="s">
        <v>12</v>
      </c>
      <c r="F97">
        <v>25</v>
      </c>
      <c r="G97">
        <v>0</v>
      </c>
      <c r="H97">
        <v>0</v>
      </c>
      <c r="I97" t="s">
        <v>203</v>
      </c>
      <c r="J97" s="9">
        <v>7.7957999999999998</v>
      </c>
      <c r="K97" t="s">
        <v>18</v>
      </c>
      <c r="L97">
        <v>1</v>
      </c>
    </row>
    <row r="98" spans="1:12" x14ac:dyDescent="0.25">
      <c r="A98">
        <v>988</v>
      </c>
      <c r="B98">
        <v>1</v>
      </c>
      <c r="C98">
        <v>1</v>
      </c>
      <c r="D98" t="s">
        <v>204</v>
      </c>
      <c r="E98" t="s">
        <v>16</v>
      </c>
      <c r="F98">
        <v>76</v>
      </c>
      <c r="G98">
        <v>1</v>
      </c>
      <c r="H98">
        <v>0</v>
      </c>
      <c r="I98" t="s">
        <v>205</v>
      </c>
      <c r="J98" s="9">
        <v>78.849999999999994</v>
      </c>
      <c r="K98" t="s">
        <v>18</v>
      </c>
      <c r="L98">
        <v>1</v>
      </c>
    </row>
    <row r="99" spans="1:12" x14ac:dyDescent="0.25">
      <c r="A99">
        <v>989</v>
      </c>
      <c r="B99">
        <v>0</v>
      </c>
      <c r="C99">
        <v>3</v>
      </c>
      <c r="D99" t="s">
        <v>206</v>
      </c>
      <c r="E99" t="s">
        <v>12</v>
      </c>
      <c r="F99">
        <v>29</v>
      </c>
      <c r="G99">
        <v>0</v>
      </c>
      <c r="H99">
        <v>0</v>
      </c>
      <c r="I99" t="s">
        <v>207</v>
      </c>
      <c r="J99" s="9">
        <v>7.9249999999999998</v>
      </c>
      <c r="K99" t="s">
        <v>18</v>
      </c>
      <c r="L99">
        <v>1</v>
      </c>
    </row>
    <row r="100" spans="1:12" x14ac:dyDescent="0.25">
      <c r="A100">
        <v>990</v>
      </c>
      <c r="B100">
        <v>1</v>
      </c>
      <c r="C100">
        <v>3</v>
      </c>
      <c r="D100" t="s">
        <v>208</v>
      </c>
      <c r="E100" t="s">
        <v>16</v>
      </c>
      <c r="F100">
        <v>20</v>
      </c>
      <c r="G100">
        <v>0</v>
      </c>
      <c r="H100">
        <v>0</v>
      </c>
      <c r="I100" t="s">
        <v>209</v>
      </c>
      <c r="J100" s="9">
        <v>7.8541999999999996</v>
      </c>
      <c r="K100" t="s">
        <v>18</v>
      </c>
      <c r="L100">
        <v>1</v>
      </c>
    </row>
    <row r="101" spans="1:12" x14ac:dyDescent="0.25">
      <c r="A101">
        <v>991</v>
      </c>
      <c r="B101">
        <v>0</v>
      </c>
      <c r="C101">
        <v>3</v>
      </c>
      <c r="D101" t="s">
        <v>210</v>
      </c>
      <c r="E101" t="s">
        <v>12</v>
      </c>
      <c r="F101">
        <v>33</v>
      </c>
      <c r="G101">
        <v>0</v>
      </c>
      <c r="H101">
        <v>0</v>
      </c>
      <c r="I101" t="s">
        <v>211</v>
      </c>
      <c r="J101" s="9">
        <v>8.0500000000000007</v>
      </c>
      <c r="K101" t="s">
        <v>18</v>
      </c>
      <c r="L101">
        <v>1</v>
      </c>
    </row>
    <row r="102" spans="1:12" x14ac:dyDescent="0.25">
      <c r="A102">
        <v>992</v>
      </c>
      <c r="B102">
        <v>1</v>
      </c>
      <c r="C102">
        <v>1</v>
      </c>
      <c r="D102" t="s">
        <v>212</v>
      </c>
      <c r="E102" t="s">
        <v>16</v>
      </c>
      <c r="F102">
        <v>43</v>
      </c>
      <c r="G102">
        <v>1</v>
      </c>
      <c r="H102">
        <v>0</v>
      </c>
      <c r="I102" t="s">
        <v>213</v>
      </c>
      <c r="J102" s="9">
        <v>55.441699999999997</v>
      </c>
      <c r="K102" t="s">
        <v>33</v>
      </c>
      <c r="L102">
        <v>1</v>
      </c>
    </row>
    <row r="103" spans="1:12" x14ac:dyDescent="0.25">
      <c r="A103">
        <v>993</v>
      </c>
      <c r="B103">
        <v>0</v>
      </c>
      <c r="C103">
        <v>2</v>
      </c>
      <c r="D103" t="s">
        <v>214</v>
      </c>
      <c r="E103" t="s">
        <v>12</v>
      </c>
      <c r="F103">
        <v>27</v>
      </c>
      <c r="G103">
        <v>1</v>
      </c>
      <c r="H103">
        <v>0</v>
      </c>
      <c r="I103" t="s">
        <v>215</v>
      </c>
      <c r="J103" s="9">
        <v>26</v>
      </c>
      <c r="K103" t="s">
        <v>18</v>
      </c>
      <c r="L103">
        <v>1</v>
      </c>
    </row>
    <row r="104" spans="1:12" x14ac:dyDescent="0.25">
      <c r="A104">
        <v>994</v>
      </c>
      <c r="B104">
        <v>0</v>
      </c>
      <c r="C104">
        <v>3</v>
      </c>
      <c r="D104" t="s">
        <v>216</v>
      </c>
      <c r="E104" t="s">
        <v>12</v>
      </c>
      <c r="F104">
        <v>30</v>
      </c>
      <c r="G104">
        <v>0</v>
      </c>
      <c r="H104">
        <v>0</v>
      </c>
      <c r="I104" t="s">
        <v>217</v>
      </c>
      <c r="J104" s="9">
        <v>7.75</v>
      </c>
      <c r="K104" t="s">
        <v>14</v>
      </c>
      <c r="L104">
        <v>1</v>
      </c>
    </row>
    <row r="105" spans="1:12" x14ac:dyDescent="0.25">
      <c r="A105">
        <v>995</v>
      </c>
      <c r="B105">
        <v>0</v>
      </c>
      <c r="C105">
        <v>3</v>
      </c>
      <c r="D105" t="s">
        <v>218</v>
      </c>
      <c r="E105" t="s">
        <v>12</v>
      </c>
      <c r="F105">
        <v>26</v>
      </c>
      <c r="G105">
        <v>0</v>
      </c>
      <c r="H105">
        <v>0</v>
      </c>
      <c r="I105" t="s">
        <v>219</v>
      </c>
      <c r="J105" s="9">
        <v>7.7750000000000004</v>
      </c>
      <c r="K105" t="s">
        <v>18</v>
      </c>
      <c r="L105">
        <v>1</v>
      </c>
    </row>
    <row r="106" spans="1:12" x14ac:dyDescent="0.25">
      <c r="A106">
        <v>996</v>
      </c>
      <c r="B106">
        <v>1</v>
      </c>
      <c r="C106">
        <v>3</v>
      </c>
      <c r="D106" t="s">
        <v>220</v>
      </c>
      <c r="E106" t="s">
        <v>16</v>
      </c>
      <c r="F106">
        <v>16</v>
      </c>
      <c r="G106">
        <v>1</v>
      </c>
      <c r="H106">
        <v>1</v>
      </c>
      <c r="I106" t="s">
        <v>221</v>
      </c>
      <c r="J106" s="9">
        <v>8.5167000000000002</v>
      </c>
      <c r="K106" t="s">
        <v>33</v>
      </c>
      <c r="L106">
        <v>1</v>
      </c>
    </row>
    <row r="107" spans="1:12" x14ac:dyDescent="0.25">
      <c r="A107">
        <v>997</v>
      </c>
      <c r="B107">
        <v>0</v>
      </c>
      <c r="C107">
        <v>3</v>
      </c>
      <c r="D107" t="s">
        <v>222</v>
      </c>
      <c r="E107" t="s">
        <v>12</v>
      </c>
      <c r="F107">
        <v>28</v>
      </c>
      <c r="G107">
        <v>0</v>
      </c>
      <c r="H107">
        <v>0</v>
      </c>
      <c r="I107" t="s">
        <v>223</v>
      </c>
      <c r="J107" s="9">
        <v>22.524999999999999</v>
      </c>
      <c r="K107" t="s">
        <v>18</v>
      </c>
      <c r="L107">
        <v>1</v>
      </c>
    </row>
    <row r="108" spans="1:12" x14ac:dyDescent="0.25">
      <c r="A108">
        <v>998</v>
      </c>
      <c r="B108">
        <v>0</v>
      </c>
      <c r="C108">
        <v>3</v>
      </c>
      <c r="D108" t="s">
        <v>224</v>
      </c>
      <c r="E108" t="s">
        <v>12</v>
      </c>
      <c r="F108">
        <v>21</v>
      </c>
      <c r="G108">
        <v>0</v>
      </c>
      <c r="H108">
        <v>0</v>
      </c>
      <c r="I108" t="s">
        <v>225</v>
      </c>
      <c r="J108" s="9">
        <v>7.8208000000000002</v>
      </c>
      <c r="K108" t="s">
        <v>14</v>
      </c>
      <c r="L108">
        <v>1</v>
      </c>
    </row>
    <row r="109" spans="1:12" x14ac:dyDescent="0.25">
      <c r="A109">
        <v>999</v>
      </c>
      <c r="B109">
        <v>0</v>
      </c>
      <c r="C109">
        <v>3</v>
      </c>
      <c r="D109" t="s">
        <v>226</v>
      </c>
      <c r="E109" t="s">
        <v>12</v>
      </c>
      <c r="F109">
        <v>27</v>
      </c>
      <c r="G109">
        <v>0</v>
      </c>
      <c r="H109">
        <v>0</v>
      </c>
      <c r="I109" t="s">
        <v>227</v>
      </c>
      <c r="J109" s="9">
        <v>7.75</v>
      </c>
      <c r="K109" t="s">
        <v>14</v>
      </c>
      <c r="L109">
        <v>1</v>
      </c>
    </row>
    <row r="110" spans="1:12" x14ac:dyDescent="0.25">
      <c r="A110">
        <v>1000</v>
      </c>
      <c r="B110">
        <v>0</v>
      </c>
      <c r="C110">
        <v>3</v>
      </c>
      <c r="D110" t="s">
        <v>228</v>
      </c>
      <c r="E110" t="s">
        <v>12</v>
      </c>
      <c r="F110">
        <v>23</v>
      </c>
      <c r="G110">
        <v>0</v>
      </c>
      <c r="H110">
        <v>0</v>
      </c>
      <c r="I110" t="s">
        <v>229</v>
      </c>
      <c r="J110" s="9">
        <v>8.7125000000000004</v>
      </c>
      <c r="K110" t="s">
        <v>18</v>
      </c>
      <c r="L110">
        <v>1</v>
      </c>
    </row>
    <row r="111" spans="1:12" x14ac:dyDescent="0.25">
      <c r="A111">
        <v>1001</v>
      </c>
      <c r="B111">
        <v>0</v>
      </c>
      <c r="C111">
        <v>2</v>
      </c>
      <c r="D111" t="s">
        <v>230</v>
      </c>
      <c r="E111" t="s">
        <v>12</v>
      </c>
      <c r="F111">
        <v>18.5</v>
      </c>
      <c r="G111">
        <v>0</v>
      </c>
      <c r="H111">
        <v>0</v>
      </c>
      <c r="I111" t="s">
        <v>231</v>
      </c>
      <c r="J111" s="9">
        <v>13</v>
      </c>
      <c r="K111" t="s">
        <v>18</v>
      </c>
      <c r="L111">
        <v>1</v>
      </c>
    </row>
    <row r="112" spans="1:12" x14ac:dyDescent="0.25">
      <c r="A112">
        <v>1002</v>
      </c>
      <c r="B112">
        <v>0</v>
      </c>
      <c r="C112">
        <v>2</v>
      </c>
      <c r="D112" t="s">
        <v>232</v>
      </c>
      <c r="E112" t="s">
        <v>12</v>
      </c>
      <c r="F112">
        <v>41</v>
      </c>
      <c r="G112">
        <v>0</v>
      </c>
      <c r="H112">
        <v>0</v>
      </c>
      <c r="I112" t="s">
        <v>233</v>
      </c>
      <c r="J112" s="9">
        <v>15.0458</v>
      </c>
      <c r="K112" t="s">
        <v>33</v>
      </c>
      <c r="L112">
        <v>1</v>
      </c>
    </row>
    <row r="113" spans="1:12" x14ac:dyDescent="0.25">
      <c r="A113">
        <v>1003</v>
      </c>
      <c r="B113">
        <v>1</v>
      </c>
      <c r="C113">
        <v>3</v>
      </c>
      <c r="D113" t="s">
        <v>234</v>
      </c>
      <c r="E113" t="s">
        <v>16</v>
      </c>
      <c r="F113">
        <v>26</v>
      </c>
      <c r="G113">
        <v>0</v>
      </c>
      <c r="H113">
        <v>0</v>
      </c>
      <c r="I113" t="s">
        <v>235</v>
      </c>
      <c r="J113" s="9">
        <v>7.7792000000000003</v>
      </c>
      <c r="K113" t="s">
        <v>14</v>
      </c>
      <c r="L113">
        <v>1</v>
      </c>
    </row>
    <row r="114" spans="1:12" x14ac:dyDescent="0.25">
      <c r="A114">
        <v>1004</v>
      </c>
      <c r="B114">
        <v>1</v>
      </c>
      <c r="C114">
        <v>1</v>
      </c>
      <c r="D114" t="s">
        <v>236</v>
      </c>
      <c r="E114" t="s">
        <v>16</v>
      </c>
      <c r="F114">
        <v>36</v>
      </c>
      <c r="G114">
        <v>0</v>
      </c>
      <c r="H114">
        <v>0</v>
      </c>
      <c r="I114" t="s">
        <v>237</v>
      </c>
      <c r="J114" s="9">
        <v>31.679200000000002</v>
      </c>
      <c r="K114" t="s">
        <v>33</v>
      </c>
      <c r="L114">
        <v>1</v>
      </c>
    </row>
    <row r="115" spans="1:12" x14ac:dyDescent="0.25">
      <c r="A115">
        <v>1005</v>
      </c>
      <c r="B115">
        <v>1</v>
      </c>
      <c r="C115">
        <v>3</v>
      </c>
      <c r="D115" t="s">
        <v>238</v>
      </c>
      <c r="E115" t="s">
        <v>16</v>
      </c>
      <c r="F115">
        <v>18.5</v>
      </c>
      <c r="G115">
        <v>0</v>
      </c>
      <c r="H115">
        <v>0</v>
      </c>
      <c r="I115" t="s">
        <v>239</v>
      </c>
      <c r="J115" s="9">
        <v>7.2832999999999997</v>
      </c>
      <c r="K115" t="s">
        <v>14</v>
      </c>
      <c r="L115">
        <v>1</v>
      </c>
    </row>
    <row r="116" spans="1:12" x14ac:dyDescent="0.25">
      <c r="A116">
        <v>1006</v>
      </c>
      <c r="B116">
        <v>1</v>
      </c>
      <c r="C116">
        <v>1</v>
      </c>
      <c r="D116" t="s">
        <v>240</v>
      </c>
      <c r="E116" t="s">
        <v>16</v>
      </c>
      <c r="F116">
        <v>63</v>
      </c>
      <c r="G116">
        <v>1</v>
      </c>
      <c r="H116">
        <v>0</v>
      </c>
      <c r="I116" t="s">
        <v>175</v>
      </c>
      <c r="J116" s="9">
        <v>32</v>
      </c>
      <c r="K116" t="s">
        <v>18</v>
      </c>
      <c r="L116">
        <v>1</v>
      </c>
    </row>
    <row r="117" spans="1:12" x14ac:dyDescent="0.25">
      <c r="A117">
        <v>1007</v>
      </c>
      <c r="B117">
        <v>0</v>
      </c>
      <c r="C117">
        <v>3</v>
      </c>
      <c r="D117" t="s">
        <v>241</v>
      </c>
      <c r="E117" t="s">
        <v>12</v>
      </c>
      <c r="F117">
        <v>18</v>
      </c>
      <c r="G117">
        <v>1</v>
      </c>
      <c r="H117">
        <v>0</v>
      </c>
      <c r="I117" t="s">
        <v>242</v>
      </c>
      <c r="J117" s="9">
        <v>14.4542</v>
      </c>
      <c r="K117" t="s">
        <v>33</v>
      </c>
      <c r="L117">
        <v>1</v>
      </c>
    </row>
    <row r="118" spans="1:12" x14ac:dyDescent="0.25">
      <c r="A118">
        <v>1008</v>
      </c>
      <c r="B118">
        <v>0</v>
      </c>
      <c r="C118">
        <v>3</v>
      </c>
      <c r="D118" t="s">
        <v>243</v>
      </c>
      <c r="E118" t="s">
        <v>12</v>
      </c>
      <c r="F118">
        <v>22</v>
      </c>
      <c r="G118">
        <v>0</v>
      </c>
      <c r="H118">
        <v>0</v>
      </c>
      <c r="I118" t="s">
        <v>244</v>
      </c>
      <c r="J118" s="9">
        <v>6.4375</v>
      </c>
      <c r="K118" t="s">
        <v>33</v>
      </c>
      <c r="L118">
        <v>1</v>
      </c>
    </row>
    <row r="119" spans="1:12" x14ac:dyDescent="0.25">
      <c r="A119">
        <v>1009</v>
      </c>
      <c r="B119">
        <v>1</v>
      </c>
      <c r="C119">
        <v>3</v>
      </c>
      <c r="D119" t="s">
        <v>245</v>
      </c>
      <c r="E119" t="s">
        <v>16</v>
      </c>
      <c r="F119">
        <v>1</v>
      </c>
      <c r="G119">
        <v>1</v>
      </c>
      <c r="H119">
        <v>1</v>
      </c>
      <c r="I119" t="s">
        <v>246</v>
      </c>
      <c r="J119" s="9">
        <v>16.7</v>
      </c>
      <c r="K119" t="s">
        <v>18</v>
      </c>
      <c r="L119">
        <v>1</v>
      </c>
    </row>
    <row r="120" spans="1:12" x14ac:dyDescent="0.25">
      <c r="A120">
        <v>1010</v>
      </c>
      <c r="B120">
        <v>0</v>
      </c>
      <c r="C120">
        <v>1</v>
      </c>
      <c r="D120" t="s">
        <v>247</v>
      </c>
      <c r="E120" t="s">
        <v>12</v>
      </c>
      <c r="F120">
        <v>36</v>
      </c>
      <c r="G120">
        <v>0</v>
      </c>
      <c r="H120">
        <v>0</v>
      </c>
      <c r="I120" t="s">
        <v>248</v>
      </c>
      <c r="J120" s="9">
        <v>75.241699999999994</v>
      </c>
      <c r="K120" t="s">
        <v>33</v>
      </c>
      <c r="L120">
        <v>1</v>
      </c>
    </row>
    <row r="121" spans="1:12" x14ac:dyDescent="0.25">
      <c r="A121">
        <v>1011</v>
      </c>
      <c r="B121">
        <v>1</v>
      </c>
      <c r="C121">
        <v>2</v>
      </c>
      <c r="D121" t="s">
        <v>249</v>
      </c>
      <c r="E121" t="s">
        <v>16</v>
      </c>
      <c r="F121">
        <v>29</v>
      </c>
      <c r="G121">
        <v>1</v>
      </c>
      <c r="H121">
        <v>0</v>
      </c>
      <c r="I121" t="s">
        <v>250</v>
      </c>
      <c r="J121" s="9">
        <v>26</v>
      </c>
      <c r="K121" t="s">
        <v>18</v>
      </c>
      <c r="L121">
        <v>1</v>
      </c>
    </row>
    <row r="122" spans="1:12" x14ac:dyDescent="0.25">
      <c r="A122">
        <v>1012</v>
      </c>
      <c r="B122">
        <v>1</v>
      </c>
      <c r="C122">
        <v>2</v>
      </c>
      <c r="D122" t="s">
        <v>251</v>
      </c>
      <c r="E122" t="s">
        <v>16</v>
      </c>
      <c r="F122">
        <v>12</v>
      </c>
      <c r="G122">
        <v>0</v>
      </c>
      <c r="H122">
        <v>0</v>
      </c>
      <c r="I122" t="s">
        <v>252</v>
      </c>
      <c r="J122" s="9">
        <v>15.75</v>
      </c>
      <c r="K122" t="s">
        <v>18</v>
      </c>
      <c r="L122">
        <v>1</v>
      </c>
    </row>
    <row r="123" spans="1:12" x14ac:dyDescent="0.25">
      <c r="A123">
        <v>1013</v>
      </c>
      <c r="B123">
        <v>0</v>
      </c>
      <c r="C123">
        <v>3</v>
      </c>
      <c r="D123" t="s">
        <v>253</v>
      </c>
      <c r="E123" t="s">
        <v>12</v>
      </c>
      <c r="F123">
        <v>31</v>
      </c>
      <c r="G123">
        <v>1</v>
      </c>
      <c r="H123">
        <v>0</v>
      </c>
      <c r="I123" t="s">
        <v>254</v>
      </c>
      <c r="J123" s="9">
        <v>7.75</v>
      </c>
      <c r="K123" t="s">
        <v>14</v>
      </c>
      <c r="L123">
        <v>1</v>
      </c>
    </row>
    <row r="124" spans="1:12" x14ac:dyDescent="0.25">
      <c r="A124">
        <v>1014</v>
      </c>
      <c r="B124">
        <v>1</v>
      </c>
      <c r="C124">
        <v>1</v>
      </c>
      <c r="D124" t="s">
        <v>255</v>
      </c>
      <c r="E124" t="s">
        <v>16</v>
      </c>
      <c r="F124">
        <v>35</v>
      </c>
      <c r="G124">
        <v>1</v>
      </c>
      <c r="H124">
        <v>0</v>
      </c>
      <c r="I124" t="s">
        <v>85</v>
      </c>
      <c r="J124" s="9">
        <v>57.75</v>
      </c>
      <c r="K124" t="s">
        <v>33</v>
      </c>
      <c r="L124">
        <v>1</v>
      </c>
    </row>
    <row r="125" spans="1:12" x14ac:dyDescent="0.25">
      <c r="A125">
        <v>1015</v>
      </c>
      <c r="B125">
        <v>0</v>
      </c>
      <c r="C125">
        <v>3</v>
      </c>
      <c r="D125" t="s">
        <v>256</v>
      </c>
      <c r="E125" t="s">
        <v>12</v>
      </c>
      <c r="F125">
        <v>28</v>
      </c>
      <c r="G125">
        <v>0</v>
      </c>
      <c r="H125">
        <v>0</v>
      </c>
      <c r="I125" t="s">
        <v>257</v>
      </c>
      <c r="J125" s="9">
        <v>7.25</v>
      </c>
      <c r="K125" t="s">
        <v>18</v>
      </c>
      <c r="L125">
        <v>1</v>
      </c>
    </row>
    <row r="126" spans="1:12" x14ac:dyDescent="0.25">
      <c r="A126">
        <v>1016</v>
      </c>
      <c r="B126">
        <v>0</v>
      </c>
      <c r="C126">
        <v>3</v>
      </c>
      <c r="D126" t="s">
        <v>258</v>
      </c>
      <c r="E126" t="s">
        <v>12</v>
      </c>
      <c r="F126">
        <v>50</v>
      </c>
      <c r="G126">
        <v>0</v>
      </c>
      <c r="H126">
        <v>0</v>
      </c>
      <c r="I126" t="s">
        <v>259</v>
      </c>
      <c r="J126" s="9">
        <v>7.75</v>
      </c>
      <c r="K126" t="s">
        <v>14</v>
      </c>
      <c r="L126">
        <v>1</v>
      </c>
    </row>
    <row r="127" spans="1:12" x14ac:dyDescent="0.25">
      <c r="A127">
        <v>1017</v>
      </c>
      <c r="B127">
        <v>1</v>
      </c>
      <c r="C127">
        <v>3</v>
      </c>
      <c r="D127" t="s">
        <v>260</v>
      </c>
      <c r="E127" t="s">
        <v>16</v>
      </c>
      <c r="F127">
        <v>17</v>
      </c>
      <c r="G127">
        <v>0</v>
      </c>
      <c r="H127">
        <v>1</v>
      </c>
      <c r="I127" t="s">
        <v>261</v>
      </c>
      <c r="J127" s="9">
        <v>16.100000000000001</v>
      </c>
      <c r="K127" t="s">
        <v>18</v>
      </c>
      <c r="L127">
        <v>1</v>
      </c>
    </row>
    <row r="128" spans="1:12" x14ac:dyDescent="0.25">
      <c r="A128">
        <v>1018</v>
      </c>
      <c r="B128">
        <v>0</v>
      </c>
      <c r="C128">
        <v>3</v>
      </c>
      <c r="D128" t="s">
        <v>262</v>
      </c>
      <c r="E128" t="s">
        <v>12</v>
      </c>
      <c r="F128">
        <v>22</v>
      </c>
      <c r="G128">
        <v>0</v>
      </c>
      <c r="H128">
        <v>0</v>
      </c>
      <c r="I128" t="s">
        <v>263</v>
      </c>
      <c r="J128" s="9">
        <v>7.7957999999999998</v>
      </c>
      <c r="K128" t="s">
        <v>18</v>
      </c>
      <c r="L128">
        <v>1</v>
      </c>
    </row>
    <row r="129" spans="1:12" x14ac:dyDescent="0.25">
      <c r="A129">
        <v>1019</v>
      </c>
      <c r="B129">
        <v>1</v>
      </c>
      <c r="C129">
        <v>3</v>
      </c>
      <c r="D129" t="s">
        <v>264</v>
      </c>
      <c r="E129" t="s">
        <v>16</v>
      </c>
      <c r="F129">
        <v>50</v>
      </c>
      <c r="G129">
        <v>2</v>
      </c>
      <c r="H129">
        <v>0</v>
      </c>
      <c r="I129" t="s">
        <v>265</v>
      </c>
      <c r="J129" s="9">
        <v>23.25</v>
      </c>
      <c r="K129" t="s">
        <v>14</v>
      </c>
      <c r="L129">
        <v>1</v>
      </c>
    </row>
    <row r="130" spans="1:12" x14ac:dyDescent="0.25">
      <c r="A130">
        <v>1020</v>
      </c>
      <c r="B130">
        <v>0</v>
      </c>
      <c r="C130">
        <v>2</v>
      </c>
      <c r="D130" t="s">
        <v>266</v>
      </c>
      <c r="E130" t="s">
        <v>12</v>
      </c>
      <c r="F130">
        <v>42</v>
      </c>
      <c r="G130">
        <v>0</v>
      </c>
      <c r="H130">
        <v>0</v>
      </c>
      <c r="I130" t="s">
        <v>267</v>
      </c>
      <c r="J130" s="9">
        <v>13</v>
      </c>
      <c r="K130" t="s">
        <v>18</v>
      </c>
      <c r="L130">
        <v>1</v>
      </c>
    </row>
    <row r="131" spans="1:12" x14ac:dyDescent="0.25">
      <c r="A131">
        <v>1021</v>
      </c>
      <c r="B131">
        <v>0</v>
      </c>
      <c r="C131">
        <v>3</v>
      </c>
      <c r="D131" t="s">
        <v>268</v>
      </c>
      <c r="E131" t="s">
        <v>12</v>
      </c>
      <c r="F131">
        <v>24</v>
      </c>
      <c r="G131">
        <v>0</v>
      </c>
      <c r="H131">
        <v>0</v>
      </c>
      <c r="I131" t="s">
        <v>269</v>
      </c>
      <c r="J131" s="9">
        <v>8.0500000000000007</v>
      </c>
      <c r="K131" t="s">
        <v>18</v>
      </c>
      <c r="L131">
        <v>1</v>
      </c>
    </row>
    <row r="132" spans="1:12" x14ac:dyDescent="0.25">
      <c r="A132">
        <v>1022</v>
      </c>
      <c r="B132">
        <v>0</v>
      </c>
      <c r="C132">
        <v>3</v>
      </c>
      <c r="D132" t="s">
        <v>270</v>
      </c>
      <c r="E132" t="s">
        <v>12</v>
      </c>
      <c r="F132">
        <v>32</v>
      </c>
      <c r="G132">
        <v>0</v>
      </c>
      <c r="H132">
        <v>0</v>
      </c>
      <c r="I132" t="s">
        <v>271</v>
      </c>
      <c r="J132" s="9">
        <v>8.0500000000000007</v>
      </c>
      <c r="K132" t="s">
        <v>18</v>
      </c>
      <c r="L132">
        <v>1</v>
      </c>
    </row>
    <row r="133" spans="1:12" x14ac:dyDescent="0.25">
      <c r="A133">
        <v>1023</v>
      </c>
      <c r="B133">
        <v>0</v>
      </c>
      <c r="C133">
        <v>1</v>
      </c>
      <c r="D133" t="s">
        <v>272</v>
      </c>
      <c r="E133" t="s">
        <v>12</v>
      </c>
      <c r="F133">
        <v>53</v>
      </c>
      <c r="G133">
        <v>0</v>
      </c>
      <c r="H133">
        <v>0</v>
      </c>
      <c r="I133" t="s">
        <v>273</v>
      </c>
      <c r="J133" s="9">
        <v>28.5</v>
      </c>
      <c r="K133" t="s">
        <v>33</v>
      </c>
      <c r="L133">
        <v>1</v>
      </c>
    </row>
    <row r="134" spans="1:12" x14ac:dyDescent="0.25">
      <c r="A134">
        <v>1024</v>
      </c>
      <c r="B134">
        <v>1</v>
      </c>
      <c r="C134">
        <v>3</v>
      </c>
      <c r="D134" t="s">
        <v>274</v>
      </c>
      <c r="E134" t="s">
        <v>16</v>
      </c>
      <c r="F134">
        <v>35</v>
      </c>
      <c r="G134">
        <v>0</v>
      </c>
      <c r="H134">
        <v>4</v>
      </c>
      <c r="I134" t="s">
        <v>275</v>
      </c>
      <c r="J134" s="9">
        <v>25.466699999999999</v>
      </c>
      <c r="K134" t="s">
        <v>18</v>
      </c>
      <c r="L134">
        <v>1</v>
      </c>
    </row>
    <row r="135" spans="1:12" x14ac:dyDescent="0.25">
      <c r="A135">
        <v>1025</v>
      </c>
      <c r="B135">
        <v>0</v>
      </c>
      <c r="C135">
        <v>3</v>
      </c>
      <c r="D135" t="s">
        <v>276</v>
      </c>
      <c r="E135" t="s">
        <v>12</v>
      </c>
      <c r="F135">
        <v>26</v>
      </c>
      <c r="G135">
        <v>1</v>
      </c>
      <c r="H135">
        <v>0</v>
      </c>
      <c r="I135" t="s">
        <v>277</v>
      </c>
      <c r="J135" s="9">
        <v>6.4375</v>
      </c>
      <c r="K135" t="s">
        <v>33</v>
      </c>
      <c r="L135">
        <v>1</v>
      </c>
    </row>
    <row r="136" spans="1:12" x14ac:dyDescent="0.25">
      <c r="A136">
        <v>1026</v>
      </c>
      <c r="B136">
        <v>0</v>
      </c>
      <c r="C136">
        <v>3</v>
      </c>
      <c r="D136" t="s">
        <v>278</v>
      </c>
      <c r="E136" t="s">
        <v>12</v>
      </c>
      <c r="F136">
        <v>43</v>
      </c>
      <c r="G136">
        <v>0</v>
      </c>
      <c r="H136">
        <v>0</v>
      </c>
      <c r="I136" t="s">
        <v>279</v>
      </c>
      <c r="J136" s="9">
        <v>7.8958000000000004</v>
      </c>
      <c r="K136" t="s">
        <v>18</v>
      </c>
      <c r="L136">
        <v>1</v>
      </c>
    </row>
    <row r="137" spans="1:12" x14ac:dyDescent="0.25">
      <c r="A137">
        <v>1027</v>
      </c>
      <c r="B137">
        <v>0</v>
      </c>
      <c r="C137">
        <v>3</v>
      </c>
      <c r="D137" t="s">
        <v>280</v>
      </c>
      <c r="E137" t="s">
        <v>12</v>
      </c>
      <c r="F137">
        <v>24</v>
      </c>
      <c r="G137">
        <v>0</v>
      </c>
      <c r="H137">
        <v>0</v>
      </c>
      <c r="I137" t="s">
        <v>281</v>
      </c>
      <c r="J137" s="9">
        <v>7.8541999999999996</v>
      </c>
      <c r="K137" t="s">
        <v>18</v>
      </c>
      <c r="L137">
        <v>1</v>
      </c>
    </row>
    <row r="138" spans="1:12" x14ac:dyDescent="0.25">
      <c r="A138">
        <v>1028</v>
      </c>
      <c r="B138">
        <v>0</v>
      </c>
      <c r="C138">
        <v>3</v>
      </c>
      <c r="D138" t="s">
        <v>282</v>
      </c>
      <c r="E138" t="s">
        <v>12</v>
      </c>
      <c r="F138">
        <v>26.5</v>
      </c>
      <c r="G138">
        <v>0</v>
      </c>
      <c r="H138">
        <v>0</v>
      </c>
      <c r="I138" t="s">
        <v>283</v>
      </c>
      <c r="J138" s="9">
        <v>7.2249999999999996</v>
      </c>
      <c r="K138" t="s">
        <v>33</v>
      </c>
      <c r="L138">
        <v>1</v>
      </c>
    </row>
    <row r="139" spans="1:12" x14ac:dyDescent="0.25">
      <c r="A139">
        <v>1029</v>
      </c>
      <c r="B139">
        <v>0</v>
      </c>
      <c r="C139">
        <v>2</v>
      </c>
      <c r="D139" t="s">
        <v>284</v>
      </c>
      <c r="E139" t="s">
        <v>12</v>
      </c>
      <c r="F139">
        <v>26</v>
      </c>
      <c r="G139">
        <v>0</v>
      </c>
      <c r="H139">
        <v>0</v>
      </c>
      <c r="I139" t="s">
        <v>285</v>
      </c>
      <c r="J139" s="9">
        <v>13</v>
      </c>
      <c r="K139" t="s">
        <v>18</v>
      </c>
      <c r="L139">
        <v>1</v>
      </c>
    </row>
    <row r="140" spans="1:12" x14ac:dyDescent="0.25">
      <c r="A140">
        <v>1030</v>
      </c>
      <c r="B140">
        <v>1</v>
      </c>
      <c r="C140">
        <v>3</v>
      </c>
      <c r="D140" t="s">
        <v>286</v>
      </c>
      <c r="E140" t="s">
        <v>16</v>
      </c>
      <c r="F140">
        <v>23</v>
      </c>
      <c r="G140">
        <v>0</v>
      </c>
      <c r="H140">
        <v>0</v>
      </c>
      <c r="I140" t="s">
        <v>287</v>
      </c>
      <c r="J140" s="9">
        <v>8.0500000000000007</v>
      </c>
      <c r="K140" t="s">
        <v>18</v>
      </c>
      <c r="L140">
        <v>1</v>
      </c>
    </row>
    <row r="141" spans="1:12" x14ac:dyDescent="0.25">
      <c r="A141">
        <v>1031</v>
      </c>
      <c r="B141">
        <v>0</v>
      </c>
      <c r="C141">
        <v>3</v>
      </c>
      <c r="D141" t="s">
        <v>288</v>
      </c>
      <c r="E141" t="s">
        <v>12</v>
      </c>
      <c r="F141">
        <v>40</v>
      </c>
      <c r="G141">
        <v>1</v>
      </c>
      <c r="H141">
        <v>6</v>
      </c>
      <c r="I141" t="s">
        <v>289</v>
      </c>
      <c r="J141" s="9">
        <v>46.9</v>
      </c>
      <c r="K141" t="s">
        <v>18</v>
      </c>
      <c r="L141">
        <v>1</v>
      </c>
    </row>
    <row r="142" spans="1:12" x14ac:dyDescent="0.25">
      <c r="A142">
        <v>1032</v>
      </c>
      <c r="B142">
        <v>1</v>
      </c>
      <c r="C142">
        <v>3</v>
      </c>
      <c r="D142" t="s">
        <v>290</v>
      </c>
      <c r="E142" t="s">
        <v>16</v>
      </c>
      <c r="F142">
        <v>10</v>
      </c>
      <c r="G142">
        <v>5</v>
      </c>
      <c r="H142">
        <v>2</v>
      </c>
      <c r="I142" t="s">
        <v>289</v>
      </c>
      <c r="J142" s="9">
        <v>46.9</v>
      </c>
      <c r="K142" t="s">
        <v>18</v>
      </c>
      <c r="L142">
        <v>1</v>
      </c>
    </row>
    <row r="143" spans="1:12" x14ac:dyDescent="0.25">
      <c r="A143">
        <v>1033</v>
      </c>
      <c r="B143">
        <v>1</v>
      </c>
      <c r="C143">
        <v>1</v>
      </c>
      <c r="D143" t="s">
        <v>291</v>
      </c>
      <c r="E143" t="s">
        <v>16</v>
      </c>
      <c r="F143">
        <v>33</v>
      </c>
      <c r="G143">
        <v>0</v>
      </c>
      <c r="H143">
        <v>0</v>
      </c>
      <c r="I143" t="s">
        <v>292</v>
      </c>
      <c r="J143" s="9">
        <v>32</v>
      </c>
      <c r="K143" t="s">
        <v>18</v>
      </c>
      <c r="L143">
        <v>1</v>
      </c>
    </row>
    <row r="144" spans="1:12" x14ac:dyDescent="0.25">
      <c r="A144">
        <v>1034</v>
      </c>
      <c r="B144">
        <v>0</v>
      </c>
      <c r="C144">
        <v>1</v>
      </c>
      <c r="D144" t="s">
        <v>293</v>
      </c>
      <c r="E144" t="s">
        <v>12</v>
      </c>
      <c r="F144">
        <v>61</v>
      </c>
      <c r="G144">
        <v>1</v>
      </c>
      <c r="H144">
        <v>3</v>
      </c>
      <c r="I144" t="s">
        <v>65</v>
      </c>
      <c r="J144" s="9">
        <v>61</v>
      </c>
      <c r="K144" t="s">
        <v>33</v>
      </c>
      <c r="L144">
        <v>1</v>
      </c>
    </row>
    <row r="145" spans="1:12" x14ac:dyDescent="0.25">
      <c r="A145">
        <v>1035</v>
      </c>
      <c r="B145">
        <v>0</v>
      </c>
      <c r="C145">
        <v>2</v>
      </c>
      <c r="D145" t="s">
        <v>294</v>
      </c>
      <c r="E145" t="s">
        <v>12</v>
      </c>
      <c r="F145">
        <v>28</v>
      </c>
      <c r="G145">
        <v>0</v>
      </c>
      <c r="H145">
        <v>0</v>
      </c>
      <c r="I145" t="s">
        <v>295</v>
      </c>
      <c r="J145" s="9">
        <v>26</v>
      </c>
      <c r="K145" t="s">
        <v>18</v>
      </c>
      <c r="L145">
        <v>1</v>
      </c>
    </row>
    <row r="146" spans="1:12" x14ac:dyDescent="0.25">
      <c r="A146">
        <v>1036</v>
      </c>
      <c r="B146">
        <v>0</v>
      </c>
      <c r="C146">
        <v>1</v>
      </c>
      <c r="D146" t="s">
        <v>296</v>
      </c>
      <c r="E146" t="s">
        <v>12</v>
      </c>
      <c r="F146">
        <v>42</v>
      </c>
      <c r="G146">
        <v>0</v>
      </c>
      <c r="H146">
        <v>0</v>
      </c>
      <c r="I146" t="s">
        <v>297</v>
      </c>
      <c r="J146" s="9">
        <v>26.55</v>
      </c>
      <c r="K146" t="s">
        <v>18</v>
      </c>
      <c r="L146">
        <v>1</v>
      </c>
    </row>
    <row r="147" spans="1:12" x14ac:dyDescent="0.25">
      <c r="A147">
        <v>1037</v>
      </c>
      <c r="B147">
        <v>0</v>
      </c>
      <c r="C147">
        <v>3</v>
      </c>
      <c r="D147" t="s">
        <v>298</v>
      </c>
      <c r="E147" t="s">
        <v>12</v>
      </c>
      <c r="F147">
        <v>31</v>
      </c>
      <c r="G147">
        <v>3</v>
      </c>
      <c r="H147">
        <v>0</v>
      </c>
      <c r="I147" t="s">
        <v>299</v>
      </c>
      <c r="J147" s="9">
        <v>18</v>
      </c>
      <c r="K147" t="s">
        <v>18</v>
      </c>
      <c r="L147">
        <v>1</v>
      </c>
    </row>
    <row r="148" spans="1:12" x14ac:dyDescent="0.25">
      <c r="A148">
        <v>1038</v>
      </c>
      <c r="B148">
        <v>0</v>
      </c>
      <c r="C148">
        <v>1</v>
      </c>
      <c r="D148" t="s">
        <v>300</v>
      </c>
      <c r="E148" t="s">
        <v>12</v>
      </c>
      <c r="F148">
        <v>43</v>
      </c>
      <c r="G148">
        <v>0</v>
      </c>
      <c r="H148">
        <v>0</v>
      </c>
      <c r="I148" t="s">
        <v>301</v>
      </c>
      <c r="J148" s="9">
        <v>51.862499999999997</v>
      </c>
      <c r="K148" t="s">
        <v>18</v>
      </c>
      <c r="L148">
        <v>1</v>
      </c>
    </row>
    <row r="149" spans="1:12" x14ac:dyDescent="0.25">
      <c r="A149">
        <v>1039</v>
      </c>
      <c r="B149">
        <v>0</v>
      </c>
      <c r="C149">
        <v>3</v>
      </c>
      <c r="D149" t="s">
        <v>302</v>
      </c>
      <c r="E149" t="s">
        <v>12</v>
      </c>
      <c r="F149">
        <v>22</v>
      </c>
      <c r="G149">
        <v>0</v>
      </c>
      <c r="H149">
        <v>0</v>
      </c>
      <c r="I149" t="s">
        <v>303</v>
      </c>
      <c r="J149" s="9">
        <v>8.0500000000000007</v>
      </c>
      <c r="K149" t="s">
        <v>18</v>
      </c>
      <c r="L149">
        <v>1</v>
      </c>
    </row>
    <row r="150" spans="1:12" x14ac:dyDescent="0.25">
      <c r="A150">
        <v>1040</v>
      </c>
      <c r="B150">
        <v>0</v>
      </c>
      <c r="C150">
        <v>1</v>
      </c>
      <c r="D150" t="s">
        <v>304</v>
      </c>
      <c r="E150" t="s">
        <v>12</v>
      </c>
      <c r="F150">
        <v>36</v>
      </c>
      <c r="G150">
        <v>0</v>
      </c>
      <c r="H150">
        <v>0</v>
      </c>
      <c r="I150" t="s">
        <v>305</v>
      </c>
      <c r="J150" s="9">
        <v>26.55</v>
      </c>
      <c r="K150" t="s">
        <v>18</v>
      </c>
      <c r="L150">
        <v>1</v>
      </c>
    </row>
    <row r="151" spans="1:12" x14ac:dyDescent="0.25">
      <c r="A151">
        <v>1041</v>
      </c>
      <c r="B151">
        <v>0</v>
      </c>
      <c r="C151">
        <v>2</v>
      </c>
      <c r="D151" t="s">
        <v>306</v>
      </c>
      <c r="E151" t="s">
        <v>12</v>
      </c>
      <c r="F151">
        <v>30</v>
      </c>
      <c r="G151">
        <v>1</v>
      </c>
      <c r="H151">
        <v>1</v>
      </c>
      <c r="I151" t="s">
        <v>307</v>
      </c>
      <c r="J151" s="9">
        <v>26</v>
      </c>
      <c r="K151" t="s">
        <v>18</v>
      </c>
      <c r="L151">
        <v>1</v>
      </c>
    </row>
    <row r="152" spans="1:12" x14ac:dyDescent="0.25">
      <c r="A152">
        <v>1042</v>
      </c>
      <c r="B152">
        <v>1</v>
      </c>
      <c r="C152">
        <v>1</v>
      </c>
      <c r="D152" t="s">
        <v>308</v>
      </c>
      <c r="E152" t="s">
        <v>16</v>
      </c>
      <c r="F152">
        <v>23</v>
      </c>
      <c r="G152">
        <v>0</v>
      </c>
      <c r="H152">
        <v>1</v>
      </c>
      <c r="I152" t="s">
        <v>309</v>
      </c>
      <c r="J152" s="9">
        <v>83.158299999999997</v>
      </c>
      <c r="K152" t="s">
        <v>33</v>
      </c>
      <c r="L152">
        <v>1</v>
      </c>
    </row>
    <row r="153" spans="1:12" x14ac:dyDescent="0.25">
      <c r="A153">
        <v>1043</v>
      </c>
      <c r="B153">
        <v>0</v>
      </c>
      <c r="C153">
        <v>3</v>
      </c>
      <c r="D153" t="s">
        <v>310</v>
      </c>
      <c r="E153" t="s">
        <v>12</v>
      </c>
      <c r="F153">
        <v>46</v>
      </c>
      <c r="G153">
        <v>0</v>
      </c>
      <c r="H153">
        <v>0</v>
      </c>
      <c r="I153" t="s">
        <v>311</v>
      </c>
      <c r="J153" s="9">
        <v>7.8958000000000004</v>
      </c>
      <c r="K153" t="s">
        <v>33</v>
      </c>
      <c r="L153">
        <v>1</v>
      </c>
    </row>
    <row r="154" spans="1:12" x14ac:dyDescent="0.25">
      <c r="A154">
        <v>1044</v>
      </c>
      <c r="B154">
        <v>0</v>
      </c>
      <c r="C154">
        <v>3</v>
      </c>
      <c r="D154" t="s">
        <v>312</v>
      </c>
      <c r="E154" t="s">
        <v>12</v>
      </c>
      <c r="F154">
        <v>60.5</v>
      </c>
      <c r="G154">
        <v>0</v>
      </c>
      <c r="H154">
        <v>0</v>
      </c>
      <c r="I154" t="s">
        <v>313</v>
      </c>
      <c r="K154" t="s">
        <v>18</v>
      </c>
      <c r="L154">
        <v>1</v>
      </c>
    </row>
    <row r="155" spans="1:12" x14ac:dyDescent="0.25">
      <c r="A155">
        <v>1045</v>
      </c>
      <c r="B155">
        <v>1</v>
      </c>
      <c r="C155">
        <v>3</v>
      </c>
      <c r="D155" t="s">
        <v>314</v>
      </c>
      <c r="E155" t="s">
        <v>16</v>
      </c>
      <c r="F155">
        <v>36</v>
      </c>
      <c r="G155">
        <v>0</v>
      </c>
      <c r="H155">
        <v>2</v>
      </c>
      <c r="I155" t="s">
        <v>315</v>
      </c>
      <c r="J155" s="9">
        <v>121833</v>
      </c>
      <c r="K155" t="s">
        <v>18</v>
      </c>
      <c r="L155">
        <v>1</v>
      </c>
    </row>
    <row r="156" spans="1:12" x14ac:dyDescent="0.25">
      <c r="A156">
        <v>1046</v>
      </c>
      <c r="B156">
        <v>0</v>
      </c>
      <c r="C156">
        <v>3</v>
      </c>
      <c r="D156" t="s">
        <v>316</v>
      </c>
      <c r="E156" t="s">
        <v>12</v>
      </c>
      <c r="F156">
        <v>13</v>
      </c>
      <c r="G156">
        <v>4</v>
      </c>
      <c r="H156">
        <v>2</v>
      </c>
      <c r="I156" t="s">
        <v>317</v>
      </c>
      <c r="J156" s="9">
        <v>313875</v>
      </c>
      <c r="K156" t="s">
        <v>18</v>
      </c>
      <c r="L156">
        <v>1</v>
      </c>
    </row>
    <row r="157" spans="1:12" x14ac:dyDescent="0.25">
      <c r="A157">
        <v>1047</v>
      </c>
      <c r="B157">
        <v>0</v>
      </c>
      <c r="C157">
        <v>3</v>
      </c>
      <c r="D157" t="s">
        <v>318</v>
      </c>
      <c r="E157" t="s">
        <v>12</v>
      </c>
      <c r="F157">
        <v>24</v>
      </c>
      <c r="G157">
        <v>0</v>
      </c>
      <c r="H157">
        <v>0</v>
      </c>
      <c r="I157" t="s">
        <v>319</v>
      </c>
      <c r="J157" s="9">
        <v>7.55</v>
      </c>
      <c r="K157" t="s">
        <v>18</v>
      </c>
      <c r="L157">
        <v>1</v>
      </c>
    </row>
    <row r="158" spans="1:12" x14ac:dyDescent="0.25">
      <c r="A158">
        <v>1048</v>
      </c>
      <c r="B158">
        <v>1</v>
      </c>
      <c r="C158">
        <v>1</v>
      </c>
      <c r="D158" t="s">
        <v>320</v>
      </c>
      <c r="E158" t="s">
        <v>16</v>
      </c>
      <c r="F158">
        <v>29</v>
      </c>
      <c r="G158">
        <v>0</v>
      </c>
      <c r="H158">
        <v>0</v>
      </c>
      <c r="I158" t="s">
        <v>175</v>
      </c>
      <c r="J158" s="9">
        <v>36</v>
      </c>
      <c r="K158" t="s">
        <v>18</v>
      </c>
      <c r="L158">
        <v>1</v>
      </c>
    </row>
    <row r="159" spans="1:12" x14ac:dyDescent="0.25">
      <c r="A159">
        <v>1049</v>
      </c>
      <c r="B159">
        <v>1</v>
      </c>
      <c r="C159">
        <v>3</v>
      </c>
      <c r="D159" t="s">
        <v>321</v>
      </c>
      <c r="E159" t="s">
        <v>16</v>
      </c>
      <c r="F159">
        <v>23</v>
      </c>
      <c r="G159">
        <v>0</v>
      </c>
      <c r="H159">
        <v>0</v>
      </c>
      <c r="I159" t="s">
        <v>322</v>
      </c>
      <c r="J159" s="9">
        <v>78542</v>
      </c>
      <c r="K159" t="s">
        <v>18</v>
      </c>
      <c r="L159">
        <v>1</v>
      </c>
    </row>
    <row r="160" spans="1:12" x14ac:dyDescent="0.25">
      <c r="A160">
        <v>1050</v>
      </c>
      <c r="B160">
        <v>0</v>
      </c>
      <c r="C160">
        <v>1</v>
      </c>
      <c r="D160" t="s">
        <v>323</v>
      </c>
      <c r="E160" t="s">
        <v>12</v>
      </c>
      <c r="F160">
        <v>42</v>
      </c>
      <c r="G160">
        <v>0</v>
      </c>
      <c r="H160">
        <v>0</v>
      </c>
      <c r="I160" t="s">
        <v>324</v>
      </c>
      <c r="J160" s="9">
        <v>26.55</v>
      </c>
      <c r="K160" t="s">
        <v>18</v>
      </c>
      <c r="L160">
        <v>1</v>
      </c>
    </row>
    <row r="161" spans="1:12" x14ac:dyDescent="0.25">
      <c r="A161">
        <v>1051</v>
      </c>
      <c r="B161">
        <v>1</v>
      </c>
      <c r="C161">
        <v>3</v>
      </c>
      <c r="D161" t="s">
        <v>325</v>
      </c>
      <c r="E161" t="s">
        <v>16</v>
      </c>
      <c r="F161">
        <v>26</v>
      </c>
      <c r="G161">
        <v>0</v>
      </c>
      <c r="H161">
        <v>2</v>
      </c>
      <c r="I161" t="s">
        <v>326</v>
      </c>
      <c r="J161" s="9">
        <v>13775</v>
      </c>
      <c r="K161" t="s">
        <v>18</v>
      </c>
      <c r="L161">
        <v>1</v>
      </c>
    </row>
    <row r="162" spans="1:12" x14ac:dyDescent="0.25">
      <c r="A162">
        <v>1052</v>
      </c>
      <c r="B162">
        <v>1</v>
      </c>
      <c r="C162">
        <v>3</v>
      </c>
      <c r="D162" t="s">
        <v>327</v>
      </c>
      <c r="E162" t="s">
        <v>16</v>
      </c>
      <c r="F162">
        <v>20</v>
      </c>
      <c r="G162">
        <v>0</v>
      </c>
      <c r="H162">
        <v>0</v>
      </c>
      <c r="I162" t="s">
        <v>328</v>
      </c>
      <c r="J162" s="9">
        <v>77333</v>
      </c>
      <c r="K162" t="s">
        <v>14</v>
      </c>
      <c r="L162">
        <v>1</v>
      </c>
    </row>
    <row r="163" spans="1:12" x14ac:dyDescent="0.25">
      <c r="A163">
        <v>1053</v>
      </c>
      <c r="B163">
        <v>0</v>
      </c>
      <c r="C163">
        <v>3</v>
      </c>
      <c r="D163" t="s">
        <v>329</v>
      </c>
      <c r="E163" t="s">
        <v>12</v>
      </c>
      <c r="F163">
        <v>7</v>
      </c>
      <c r="G163">
        <v>1</v>
      </c>
      <c r="H163">
        <v>1</v>
      </c>
      <c r="I163" t="s">
        <v>330</v>
      </c>
      <c r="J163" s="9">
        <v>152458</v>
      </c>
      <c r="K163" t="s">
        <v>33</v>
      </c>
      <c r="L163">
        <v>1</v>
      </c>
    </row>
    <row r="164" spans="1:12" x14ac:dyDescent="0.25">
      <c r="A164">
        <v>1054</v>
      </c>
      <c r="B164">
        <v>1</v>
      </c>
      <c r="C164">
        <v>2</v>
      </c>
      <c r="D164" t="s">
        <v>331</v>
      </c>
      <c r="E164" t="s">
        <v>16</v>
      </c>
      <c r="F164">
        <v>26</v>
      </c>
      <c r="G164">
        <v>0</v>
      </c>
      <c r="H164">
        <v>0</v>
      </c>
      <c r="I164" t="s">
        <v>332</v>
      </c>
      <c r="J164" s="9">
        <v>13.5</v>
      </c>
      <c r="K164" t="s">
        <v>18</v>
      </c>
      <c r="L164">
        <v>1</v>
      </c>
    </row>
    <row r="165" spans="1:12" x14ac:dyDescent="0.25">
      <c r="A165">
        <v>1055</v>
      </c>
      <c r="B165">
        <v>0</v>
      </c>
      <c r="C165">
        <v>3</v>
      </c>
      <c r="D165" t="s">
        <v>333</v>
      </c>
      <c r="E165" t="s">
        <v>12</v>
      </c>
      <c r="F165">
        <v>25</v>
      </c>
      <c r="G165">
        <v>0</v>
      </c>
      <c r="H165">
        <v>0</v>
      </c>
      <c r="I165" t="s">
        <v>334</v>
      </c>
      <c r="J165" s="9">
        <v>7</v>
      </c>
      <c r="K165" t="s">
        <v>18</v>
      </c>
      <c r="L165">
        <v>1</v>
      </c>
    </row>
    <row r="166" spans="1:12" x14ac:dyDescent="0.25">
      <c r="A166">
        <v>1056</v>
      </c>
      <c r="B166">
        <v>0</v>
      </c>
      <c r="C166">
        <v>2</v>
      </c>
      <c r="D166" t="s">
        <v>335</v>
      </c>
      <c r="E166" t="s">
        <v>12</v>
      </c>
      <c r="F166">
        <v>41</v>
      </c>
      <c r="G166">
        <v>0</v>
      </c>
      <c r="H166">
        <v>0</v>
      </c>
      <c r="I166" t="s">
        <v>336</v>
      </c>
      <c r="J166" s="9">
        <v>13</v>
      </c>
      <c r="K166" t="s">
        <v>18</v>
      </c>
      <c r="L166">
        <v>1</v>
      </c>
    </row>
    <row r="167" spans="1:12" x14ac:dyDescent="0.25">
      <c r="A167">
        <v>1057</v>
      </c>
      <c r="B167">
        <v>1</v>
      </c>
      <c r="C167">
        <v>3</v>
      </c>
      <c r="D167" t="s">
        <v>337</v>
      </c>
      <c r="E167" t="s">
        <v>16</v>
      </c>
      <c r="F167">
        <v>26</v>
      </c>
      <c r="G167">
        <v>1</v>
      </c>
      <c r="H167">
        <v>1</v>
      </c>
      <c r="I167" t="s">
        <v>338</v>
      </c>
      <c r="J167" s="9">
        <v>22025</v>
      </c>
      <c r="K167" t="s">
        <v>18</v>
      </c>
      <c r="L167">
        <v>1</v>
      </c>
    </row>
    <row r="168" spans="1:12" x14ac:dyDescent="0.25">
      <c r="A168">
        <v>1058</v>
      </c>
      <c r="B168">
        <v>0</v>
      </c>
      <c r="C168">
        <v>1</v>
      </c>
      <c r="D168" t="s">
        <v>339</v>
      </c>
      <c r="E168" t="s">
        <v>12</v>
      </c>
      <c r="F168">
        <v>48</v>
      </c>
      <c r="G168">
        <v>0</v>
      </c>
      <c r="H168">
        <v>0</v>
      </c>
      <c r="I168" t="s">
        <v>340</v>
      </c>
      <c r="J168" s="9">
        <v>48</v>
      </c>
      <c r="K168" t="s">
        <v>33</v>
      </c>
      <c r="L168">
        <v>1</v>
      </c>
    </row>
    <row r="169" spans="1:12" x14ac:dyDescent="0.25">
      <c r="A169">
        <v>1059</v>
      </c>
      <c r="B169">
        <v>0</v>
      </c>
      <c r="C169">
        <v>3</v>
      </c>
      <c r="D169" t="s">
        <v>341</v>
      </c>
      <c r="E169" t="s">
        <v>12</v>
      </c>
      <c r="F169">
        <v>18</v>
      </c>
      <c r="G169">
        <v>2</v>
      </c>
      <c r="H169">
        <v>2</v>
      </c>
      <c r="I169" t="s">
        <v>342</v>
      </c>
      <c r="J169" s="9">
        <v>34375</v>
      </c>
      <c r="K169" t="s">
        <v>18</v>
      </c>
      <c r="L169">
        <v>1</v>
      </c>
    </row>
    <row r="170" spans="1:12" x14ac:dyDescent="0.25">
      <c r="A170">
        <v>1060</v>
      </c>
      <c r="B170">
        <v>1</v>
      </c>
      <c r="C170">
        <v>1</v>
      </c>
      <c r="D170" t="s">
        <v>343</v>
      </c>
      <c r="E170" t="s">
        <v>16</v>
      </c>
      <c r="F170">
        <v>48</v>
      </c>
      <c r="G170">
        <v>0</v>
      </c>
      <c r="H170">
        <v>0</v>
      </c>
      <c r="I170" t="s">
        <v>344</v>
      </c>
      <c r="J170" s="9">
        <v>43</v>
      </c>
      <c r="K170" t="s">
        <v>33</v>
      </c>
      <c r="L170">
        <v>1</v>
      </c>
    </row>
    <row r="171" spans="1:12" x14ac:dyDescent="0.25">
      <c r="A171">
        <v>1061</v>
      </c>
      <c r="B171">
        <v>1</v>
      </c>
      <c r="C171">
        <v>3</v>
      </c>
      <c r="D171" t="s">
        <v>345</v>
      </c>
      <c r="E171" t="s">
        <v>16</v>
      </c>
      <c r="F171">
        <v>22</v>
      </c>
      <c r="G171">
        <v>0</v>
      </c>
      <c r="H171">
        <v>0</v>
      </c>
      <c r="I171" t="s">
        <v>346</v>
      </c>
      <c r="J171" s="9">
        <v>89625</v>
      </c>
      <c r="K171" t="s">
        <v>18</v>
      </c>
      <c r="L171">
        <v>1</v>
      </c>
    </row>
    <row r="172" spans="1:12" x14ac:dyDescent="0.25">
      <c r="A172">
        <v>1062</v>
      </c>
      <c r="B172">
        <v>0</v>
      </c>
      <c r="C172">
        <v>3</v>
      </c>
      <c r="D172" t="s">
        <v>347</v>
      </c>
      <c r="E172" t="s">
        <v>12</v>
      </c>
      <c r="F172">
        <v>42</v>
      </c>
      <c r="G172">
        <v>0</v>
      </c>
      <c r="H172">
        <v>0</v>
      </c>
      <c r="I172" t="s">
        <v>348</v>
      </c>
      <c r="J172" s="9">
        <v>7.55</v>
      </c>
      <c r="K172" t="s">
        <v>18</v>
      </c>
      <c r="L172">
        <v>1</v>
      </c>
    </row>
    <row r="173" spans="1:12" x14ac:dyDescent="0.25">
      <c r="A173">
        <v>1063</v>
      </c>
      <c r="B173">
        <v>0</v>
      </c>
      <c r="C173">
        <v>3</v>
      </c>
      <c r="D173" t="s">
        <v>349</v>
      </c>
      <c r="E173" t="s">
        <v>12</v>
      </c>
      <c r="F173">
        <v>27</v>
      </c>
      <c r="G173">
        <v>0</v>
      </c>
      <c r="H173">
        <v>0</v>
      </c>
      <c r="I173" t="s">
        <v>350</v>
      </c>
      <c r="J173" s="9">
        <v>7225</v>
      </c>
      <c r="K173" t="s">
        <v>33</v>
      </c>
      <c r="L173">
        <v>1</v>
      </c>
    </row>
    <row r="174" spans="1:12" x14ac:dyDescent="0.25">
      <c r="A174">
        <v>1064</v>
      </c>
      <c r="B174">
        <v>0</v>
      </c>
      <c r="C174">
        <v>3</v>
      </c>
      <c r="D174" t="s">
        <v>351</v>
      </c>
      <c r="E174" t="s">
        <v>12</v>
      </c>
      <c r="F174">
        <v>23</v>
      </c>
      <c r="G174">
        <v>1</v>
      </c>
      <c r="H174">
        <v>0</v>
      </c>
      <c r="I174" t="s">
        <v>193</v>
      </c>
      <c r="J174" s="9">
        <v>13.9</v>
      </c>
      <c r="K174" t="s">
        <v>18</v>
      </c>
      <c r="L174">
        <v>1</v>
      </c>
    </row>
    <row r="175" spans="1:12" x14ac:dyDescent="0.25">
      <c r="A175">
        <v>1065</v>
      </c>
      <c r="B175">
        <v>0</v>
      </c>
      <c r="C175">
        <v>3</v>
      </c>
      <c r="D175" t="s">
        <v>352</v>
      </c>
      <c r="E175" t="s">
        <v>12</v>
      </c>
      <c r="F175">
        <v>22</v>
      </c>
      <c r="G175">
        <v>0</v>
      </c>
      <c r="H175">
        <v>0</v>
      </c>
      <c r="I175" t="s">
        <v>353</v>
      </c>
      <c r="J175" s="9">
        <v>72292</v>
      </c>
      <c r="K175" t="s">
        <v>33</v>
      </c>
      <c r="L175">
        <v>1</v>
      </c>
    </row>
    <row r="176" spans="1:12" x14ac:dyDescent="0.25">
      <c r="A176">
        <v>1066</v>
      </c>
      <c r="B176">
        <v>0</v>
      </c>
      <c r="C176">
        <v>3</v>
      </c>
      <c r="D176" t="s">
        <v>354</v>
      </c>
      <c r="E176" t="s">
        <v>12</v>
      </c>
      <c r="F176">
        <v>40</v>
      </c>
      <c r="G176">
        <v>1</v>
      </c>
      <c r="H176">
        <v>5</v>
      </c>
      <c r="I176" t="s">
        <v>317</v>
      </c>
      <c r="J176" s="9">
        <v>313875</v>
      </c>
      <c r="K176" t="s">
        <v>18</v>
      </c>
      <c r="L176">
        <v>1</v>
      </c>
    </row>
    <row r="177" spans="1:12" x14ac:dyDescent="0.25">
      <c r="A177">
        <v>1067</v>
      </c>
      <c r="B177">
        <v>1</v>
      </c>
      <c r="C177">
        <v>2</v>
      </c>
      <c r="D177" t="s">
        <v>355</v>
      </c>
      <c r="E177" t="s">
        <v>16</v>
      </c>
      <c r="F177">
        <v>15</v>
      </c>
      <c r="G177">
        <v>0</v>
      </c>
      <c r="H177">
        <v>2</v>
      </c>
      <c r="I177" t="s">
        <v>356</v>
      </c>
      <c r="J177" s="9">
        <v>39</v>
      </c>
      <c r="K177" t="s">
        <v>18</v>
      </c>
      <c r="L177">
        <v>1</v>
      </c>
    </row>
    <row r="178" spans="1:12" x14ac:dyDescent="0.25">
      <c r="A178">
        <v>1068</v>
      </c>
      <c r="B178">
        <v>1</v>
      </c>
      <c r="C178">
        <v>2</v>
      </c>
      <c r="D178" t="s">
        <v>357</v>
      </c>
      <c r="E178" t="s">
        <v>16</v>
      </c>
      <c r="F178">
        <v>20</v>
      </c>
      <c r="G178">
        <v>0</v>
      </c>
      <c r="H178">
        <v>0</v>
      </c>
      <c r="I178" t="s">
        <v>358</v>
      </c>
      <c r="J178" s="9">
        <v>36.75</v>
      </c>
      <c r="K178" t="s">
        <v>18</v>
      </c>
      <c r="L178">
        <v>1</v>
      </c>
    </row>
    <row r="179" spans="1:12" x14ac:dyDescent="0.25">
      <c r="A179">
        <v>1069</v>
      </c>
      <c r="B179">
        <v>0</v>
      </c>
      <c r="C179">
        <v>1</v>
      </c>
      <c r="D179" t="s">
        <v>359</v>
      </c>
      <c r="E179" t="s">
        <v>12</v>
      </c>
      <c r="F179">
        <v>54</v>
      </c>
      <c r="G179">
        <v>1</v>
      </c>
      <c r="H179">
        <v>0</v>
      </c>
      <c r="I179" t="s">
        <v>213</v>
      </c>
      <c r="J179" s="9">
        <v>34</v>
      </c>
      <c r="K179" t="s">
        <v>33</v>
      </c>
      <c r="L179">
        <v>1</v>
      </c>
    </row>
    <row r="180" spans="1:12" x14ac:dyDescent="0.25">
      <c r="A180">
        <v>1070</v>
      </c>
      <c r="B180">
        <v>1</v>
      </c>
      <c r="C180">
        <v>2</v>
      </c>
      <c r="D180" t="s">
        <v>360</v>
      </c>
      <c r="E180" t="s">
        <v>16</v>
      </c>
      <c r="F180">
        <v>36</v>
      </c>
      <c r="G180">
        <v>0</v>
      </c>
      <c r="H180">
        <v>3</v>
      </c>
      <c r="I180" t="s">
        <v>361</v>
      </c>
      <c r="J180" s="9">
        <v>39</v>
      </c>
      <c r="K180" t="s">
        <v>18</v>
      </c>
      <c r="L180">
        <v>1</v>
      </c>
    </row>
    <row r="181" spans="1:12" x14ac:dyDescent="0.25">
      <c r="A181">
        <v>1071</v>
      </c>
      <c r="B181">
        <v>1</v>
      </c>
      <c r="C181">
        <v>1</v>
      </c>
      <c r="D181" t="s">
        <v>362</v>
      </c>
      <c r="E181" t="s">
        <v>16</v>
      </c>
      <c r="F181">
        <v>64</v>
      </c>
      <c r="G181">
        <v>0</v>
      </c>
      <c r="H181">
        <v>2</v>
      </c>
      <c r="I181" t="s">
        <v>363</v>
      </c>
      <c r="J181" s="9">
        <v>20</v>
      </c>
      <c r="K181" t="s">
        <v>33</v>
      </c>
      <c r="L181">
        <v>1</v>
      </c>
    </row>
    <row r="182" spans="1:12" x14ac:dyDescent="0.25">
      <c r="A182">
        <v>1072</v>
      </c>
      <c r="B182">
        <v>0</v>
      </c>
      <c r="C182">
        <v>2</v>
      </c>
      <c r="D182" t="s">
        <v>364</v>
      </c>
      <c r="E182" t="s">
        <v>12</v>
      </c>
      <c r="F182">
        <v>30</v>
      </c>
      <c r="G182">
        <v>0</v>
      </c>
      <c r="H182">
        <v>0</v>
      </c>
      <c r="I182" t="s">
        <v>365</v>
      </c>
      <c r="J182" s="9">
        <v>13</v>
      </c>
      <c r="K182" t="s">
        <v>18</v>
      </c>
      <c r="L182">
        <v>1</v>
      </c>
    </row>
    <row r="183" spans="1:12" x14ac:dyDescent="0.25">
      <c r="A183">
        <v>1073</v>
      </c>
      <c r="B183">
        <v>0</v>
      </c>
      <c r="C183">
        <v>1</v>
      </c>
      <c r="D183" t="s">
        <v>366</v>
      </c>
      <c r="E183" t="s">
        <v>12</v>
      </c>
      <c r="F183">
        <v>37</v>
      </c>
      <c r="G183">
        <v>1</v>
      </c>
      <c r="H183">
        <v>1</v>
      </c>
      <c r="I183" t="s">
        <v>363</v>
      </c>
      <c r="J183" s="9">
        <v>29</v>
      </c>
      <c r="K183" t="s">
        <v>33</v>
      </c>
      <c r="L183">
        <v>1</v>
      </c>
    </row>
    <row r="184" spans="1:12" x14ac:dyDescent="0.25">
      <c r="A184">
        <v>1074</v>
      </c>
      <c r="B184">
        <v>1</v>
      </c>
      <c r="C184">
        <v>1</v>
      </c>
      <c r="D184" t="s">
        <v>367</v>
      </c>
      <c r="E184" t="s">
        <v>16</v>
      </c>
      <c r="F184">
        <v>18</v>
      </c>
      <c r="G184">
        <v>1</v>
      </c>
      <c r="H184">
        <v>0</v>
      </c>
      <c r="I184" t="s">
        <v>368</v>
      </c>
      <c r="J184" s="9">
        <v>53.1</v>
      </c>
      <c r="K184" t="s">
        <v>18</v>
      </c>
      <c r="L184">
        <v>1</v>
      </c>
    </row>
    <row r="185" spans="1:12" x14ac:dyDescent="0.25">
      <c r="A185">
        <v>1075</v>
      </c>
      <c r="B185">
        <v>0</v>
      </c>
      <c r="C185">
        <v>3</v>
      </c>
      <c r="D185" t="s">
        <v>369</v>
      </c>
      <c r="E185" t="s">
        <v>12</v>
      </c>
      <c r="F185">
        <v>21</v>
      </c>
      <c r="G185">
        <v>0</v>
      </c>
      <c r="H185">
        <v>0</v>
      </c>
      <c r="I185" t="s">
        <v>370</v>
      </c>
      <c r="J185" s="9">
        <v>7.75</v>
      </c>
      <c r="K185" t="s">
        <v>14</v>
      </c>
      <c r="L185">
        <v>1</v>
      </c>
    </row>
    <row r="186" spans="1:12" x14ac:dyDescent="0.25">
      <c r="A186">
        <v>1076</v>
      </c>
      <c r="B186">
        <v>1</v>
      </c>
      <c r="C186">
        <v>1</v>
      </c>
      <c r="D186" t="s">
        <v>371</v>
      </c>
      <c r="E186" t="s">
        <v>16</v>
      </c>
      <c r="F186">
        <v>27</v>
      </c>
      <c r="G186">
        <v>1</v>
      </c>
      <c r="H186">
        <v>1</v>
      </c>
      <c r="I186" t="s">
        <v>372</v>
      </c>
      <c r="J186" s="9">
        <v>22</v>
      </c>
      <c r="K186" t="s">
        <v>33</v>
      </c>
      <c r="L186">
        <v>1</v>
      </c>
    </row>
    <row r="187" spans="1:12" x14ac:dyDescent="0.25">
      <c r="A187">
        <v>1077</v>
      </c>
      <c r="B187">
        <v>0</v>
      </c>
      <c r="C187">
        <v>2</v>
      </c>
      <c r="D187" t="s">
        <v>373</v>
      </c>
      <c r="E187" t="s">
        <v>12</v>
      </c>
      <c r="F187">
        <v>40</v>
      </c>
      <c r="G187">
        <v>0</v>
      </c>
      <c r="H187">
        <v>0</v>
      </c>
      <c r="I187" t="s">
        <v>374</v>
      </c>
      <c r="J187" s="9">
        <v>16</v>
      </c>
      <c r="K187" t="s">
        <v>18</v>
      </c>
      <c r="L187">
        <v>1</v>
      </c>
    </row>
    <row r="188" spans="1:12" x14ac:dyDescent="0.25">
      <c r="A188">
        <v>1078</v>
      </c>
      <c r="B188">
        <v>1</v>
      </c>
      <c r="C188">
        <v>2</v>
      </c>
      <c r="D188" t="s">
        <v>375</v>
      </c>
      <c r="E188" t="s">
        <v>16</v>
      </c>
      <c r="F188">
        <v>21</v>
      </c>
      <c r="G188">
        <v>0</v>
      </c>
      <c r="H188">
        <v>1</v>
      </c>
      <c r="I188" t="s">
        <v>376</v>
      </c>
      <c r="J188" s="9">
        <v>21</v>
      </c>
      <c r="K188" t="s">
        <v>18</v>
      </c>
      <c r="L188">
        <v>1</v>
      </c>
    </row>
    <row r="189" spans="1:12" x14ac:dyDescent="0.25">
      <c r="A189">
        <v>1079</v>
      </c>
      <c r="B189">
        <v>0</v>
      </c>
      <c r="C189">
        <v>3</v>
      </c>
      <c r="D189" t="s">
        <v>377</v>
      </c>
      <c r="E189" t="s">
        <v>12</v>
      </c>
      <c r="F189">
        <v>17</v>
      </c>
      <c r="G189">
        <v>2</v>
      </c>
      <c r="H189">
        <v>0</v>
      </c>
      <c r="I189" t="s">
        <v>378</v>
      </c>
      <c r="J189" s="9">
        <v>8.0500000000000007</v>
      </c>
      <c r="K189" t="s">
        <v>18</v>
      </c>
      <c r="L189">
        <v>1</v>
      </c>
    </row>
    <row r="190" spans="1:12" x14ac:dyDescent="0.25">
      <c r="A190">
        <v>1080</v>
      </c>
      <c r="B190">
        <v>1</v>
      </c>
      <c r="C190">
        <v>3</v>
      </c>
      <c r="D190" t="s">
        <v>379</v>
      </c>
      <c r="E190" t="s">
        <v>16</v>
      </c>
      <c r="F190">
        <v>36</v>
      </c>
      <c r="G190">
        <v>8</v>
      </c>
      <c r="H190">
        <v>2</v>
      </c>
      <c r="I190" t="s">
        <v>380</v>
      </c>
      <c r="J190" s="9">
        <v>69.55</v>
      </c>
      <c r="K190" t="s">
        <v>18</v>
      </c>
      <c r="L190">
        <v>1</v>
      </c>
    </row>
    <row r="191" spans="1:12" x14ac:dyDescent="0.25">
      <c r="A191">
        <v>1081</v>
      </c>
      <c r="B191">
        <v>0</v>
      </c>
      <c r="C191">
        <v>2</v>
      </c>
      <c r="D191" t="s">
        <v>381</v>
      </c>
      <c r="E191" t="s">
        <v>12</v>
      </c>
      <c r="F191">
        <v>40</v>
      </c>
      <c r="G191">
        <v>0</v>
      </c>
      <c r="H191">
        <v>0</v>
      </c>
      <c r="I191" t="s">
        <v>382</v>
      </c>
      <c r="J191" s="9">
        <v>13</v>
      </c>
      <c r="K191" t="s">
        <v>18</v>
      </c>
      <c r="L191">
        <v>1</v>
      </c>
    </row>
    <row r="192" spans="1:12" x14ac:dyDescent="0.25">
      <c r="A192">
        <v>1082</v>
      </c>
      <c r="B192">
        <v>0</v>
      </c>
      <c r="C192">
        <v>2</v>
      </c>
      <c r="D192" t="s">
        <v>383</v>
      </c>
      <c r="E192" t="s">
        <v>12</v>
      </c>
      <c r="F192">
        <v>34</v>
      </c>
      <c r="G192">
        <v>1</v>
      </c>
      <c r="H192">
        <v>0</v>
      </c>
      <c r="I192" t="s">
        <v>384</v>
      </c>
      <c r="J192" s="9">
        <v>26</v>
      </c>
      <c r="K192" t="s">
        <v>18</v>
      </c>
      <c r="L192">
        <v>1</v>
      </c>
    </row>
    <row r="193" spans="1:12" x14ac:dyDescent="0.25">
      <c r="A193">
        <v>1083</v>
      </c>
      <c r="B193">
        <v>0</v>
      </c>
      <c r="C193">
        <v>1</v>
      </c>
      <c r="D193" t="s">
        <v>385</v>
      </c>
      <c r="E193" t="s">
        <v>12</v>
      </c>
      <c r="F193">
        <v>32</v>
      </c>
      <c r="G193">
        <v>0</v>
      </c>
      <c r="H193">
        <v>0</v>
      </c>
      <c r="I193" t="s">
        <v>386</v>
      </c>
      <c r="J193" s="9">
        <v>26</v>
      </c>
      <c r="K193" t="s">
        <v>18</v>
      </c>
      <c r="L193">
        <v>1</v>
      </c>
    </row>
    <row r="194" spans="1:12" x14ac:dyDescent="0.25">
      <c r="A194">
        <v>1084</v>
      </c>
      <c r="B194">
        <v>0</v>
      </c>
      <c r="C194">
        <v>3</v>
      </c>
      <c r="D194" t="s">
        <v>387</v>
      </c>
      <c r="E194" t="s">
        <v>12</v>
      </c>
      <c r="F194">
        <v>11.5</v>
      </c>
      <c r="G194">
        <v>1</v>
      </c>
      <c r="H194">
        <v>1</v>
      </c>
      <c r="I194" t="s">
        <v>388</v>
      </c>
      <c r="J194" s="9">
        <v>14.5</v>
      </c>
      <c r="K194" t="s">
        <v>18</v>
      </c>
      <c r="L194">
        <v>1</v>
      </c>
    </row>
    <row r="195" spans="1:12" x14ac:dyDescent="0.25">
      <c r="A195">
        <v>1085</v>
      </c>
      <c r="B195">
        <v>0</v>
      </c>
      <c r="C195">
        <v>2</v>
      </c>
      <c r="D195" t="s">
        <v>389</v>
      </c>
      <c r="E195" t="s">
        <v>12</v>
      </c>
      <c r="F195">
        <v>61</v>
      </c>
      <c r="G195">
        <v>0</v>
      </c>
      <c r="H195">
        <v>0</v>
      </c>
      <c r="I195" t="s">
        <v>390</v>
      </c>
      <c r="J195" s="9">
        <v>12.35</v>
      </c>
      <c r="K195" t="s">
        <v>14</v>
      </c>
      <c r="L195">
        <v>1</v>
      </c>
    </row>
    <row r="196" spans="1:12" x14ac:dyDescent="0.25">
      <c r="A196">
        <v>1086</v>
      </c>
      <c r="B196">
        <v>0</v>
      </c>
      <c r="C196">
        <v>2</v>
      </c>
      <c r="D196" t="s">
        <v>391</v>
      </c>
      <c r="E196" t="s">
        <v>12</v>
      </c>
      <c r="F196">
        <v>8</v>
      </c>
      <c r="G196">
        <v>0</v>
      </c>
      <c r="H196">
        <v>2</v>
      </c>
      <c r="I196" t="s">
        <v>392</v>
      </c>
      <c r="J196" s="9">
        <v>32.5</v>
      </c>
      <c r="K196" t="s">
        <v>18</v>
      </c>
      <c r="L196">
        <v>1</v>
      </c>
    </row>
    <row r="197" spans="1:12" x14ac:dyDescent="0.25">
      <c r="A197">
        <v>1087</v>
      </c>
      <c r="B197">
        <v>0</v>
      </c>
      <c r="C197">
        <v>3</v>
      </c>
      <c r="D197" t="s">
        <v>393</v>
      </c>
      <c r="E197" t="s">
        <v>12</v>
      </c>
      <c r="F197">
        <v>33</v>
      </c>
      <c r="G197">
        <v>0</v>
      </c>
      <c r="H197">
        <v>0</v>
      </c>
      <c r="I197" t="s">
        <v>394</v>
      </c>
      <c r="J197" s="9">
        <v>78542</v>
      </c>
      <c r="K197" t="s">
        <v>18</v>
      </c>
      <c r="L197">
        <v>1</v>
      </c>
    </row>
    <row r="198" spans="1:12" x14ac:dyDescent="0.25">
      <c r="A198">
        <v>1088</v>
      </c>
      <c r="B198">
        <v>0</v>
      </c>
      <c r="C198">
        <v>1</v>
      </c>
      <c r="D198" t="s">
        <v>395</v>
      </c>
      <c r="E198" t="s">
        <v>12</v>
      </c>
      <c r="F198">
        <v>6</v>
      </c>
      <c r="G198">
        <v>0</v>
      </c>
      <c r="H198">
        <v>2</v>
      </c>
      <c r="I198" t="s">
        <v>396</v>
      </c>
      <c r="J198" s="9">
        <v>134.5</v>
      </c>
      <c r="K198" t="s">
        <v>33</v>
      </c>
      <c r="L198">
        <v>1</v>
      </c>
    </row>
    <row r="199" spans="1:12" x14ac:dyDescent="0.25">
      <c r="A199">
        <v>1089</v>
      </c>
      <c r="B199">
        <v>1</v>
      </c>
      <c r="C199">
        <v>3</v>
      </c>
      <c r="D199" t="s">
        <v>397</v>
      </c>
      <c r="E199" t="s">
        <v>16</v>
      </c>
      <c r="F199">
        <v>18</v>
      </c>
      <c r="G199">
        <v>0</v>
      </c>
      <c r="H199">
        <v>0</v>
      </c>
      <c r="I199" t="s">
        <v>398</v>
      </c>
      <c r="J199" s="9">
        <v>7775</v>
      </c>
      <c r="K199" t="s">
        <v>18</v>
      </c>
      <c r="L199">
        <v>1</v>
      </c>
    </row>
    <row r="200" spans="1:12" x14ac:dyDescent="0.25">
      <c r="A200">
        <v>1090</v>
      </c>
      <c r="B200">
        <v>0</v>
      </c>
      <c r="C200">
        <v>2</v>
      </c>
      <c r="D200" t="s">
        <v>399</v>
      </c>
      <c r="E200" t="s">
        <v>12</v>
      </c>
      <c r="F200">
        <v>23</v>
      </c>
      <c r="G200">
        <v>0</v>
      </c>
      <c r="H200">
        <v>0</v>
      </c>
      <c r="I200" t="s">
        <v>400</v>
      </c>
      <c r="J200" s="9">
        <v>10.5</v>
      </c>
      <c r="K200" t="s">
        <v>18</v>
      </c>
      <c r="L200">
        <v>1</v>
      </c>
    </row>
    <row r="201" spans="1:12" x14ac:dyDescent="0.25">
      <c r="A201">
        <v>1091</v>
      </c>
      <c r="B201">
        <v>1</v>
      </c>
      <c r="C201">
        <v>3</v>
      </c>
      <c r="D201" t="s">
        <v>401</v>
      </c>
      <c r="E201" t="s">
        <v>16</v>
      </c>
      <c r="F201">
        <v>32</v>
      </c>
      <c r="G201">
        <v>0</v>
      </c>
      <c r="H201">
        <v>0</v>
      </c>
      <c r="I201" t="s">
        <v>402</v>
      </c>
      <c r="J201" s="9">
        <v>81125</v>
      </c>
      <c r="K201" t="s">
        <v>18</v>
      </c>
      <c r="L201">
        <v>1</v>
      </c>
    </row>
    <row r="202" spans="1:12" x14ac:dyDescent="0.25">
      <c r="A202">
        <v>1092</v>
      </c>
      <c r="B202">
        <v>1</v>
      </c>
      <c r="C202">
        <v>3</v>
      </c>
      <c r="D202" t="s">
        <v>403</v>
      </c>
      <c r="E202" t="s">
        <v>16</v>
      </c>
      <c r="F202">
        <v>50</v>
      </c>
      <c r="G202">
        <v>0</v>
      </c>
      <c r="H202">
        <v>0</v>
      </c>
      <c r="I202" t="s">
        <v>404</v>
      </c>
      <c r="J202" s="9">
        <v>15.5</v>
      </c>
      <c r="K202" t="s">
        <v>14</v>
      </c>
      <c r="L202">
        <v>1</v>
      </c>
    </row>
    <row r="203" spans="1:12" x14ac:dyDescent="0.25">
      <c r="A203">
        <v>1093</v>
      </c>
      <c r="B203">
        <v>0</v>
      </c>
      <c r="C203">
        <v>3</v>
      </c>
      <c r="D203" t="s">
        <v>405</v>
      </c>
      <c r="E203" t="s">
        <v>12</v>
      </c>
      <c r="F203">
        <v>0.33</v>
      </c>
      <c r="G203">
        <v>0</v>
      </c>
      <c r="H203">
        <v>2</v>
      </c>
      <c r="I203" t="s">
        <v>406</v>
      </c>
      <c r="J203" s="9">
        <v>14.4</v>
      </c>
      <c r="K203" t="s">
        <v>18</v>
      </c>
      <c r="L203">
        <v>1</v>
      </c>
    </row>
    <row r="204" spans="1:12" x14ac:dyDescent="0.25">
      <c r="A204">
        <v>1094</v>
      </c>
      <c r="B204">
        <v>0</v>
      </c>
      <c r="C204">
        <v>1</v>
      </c>
      <c r="D204" t="s">
        <v>407</v>
      </c>
      <c r="E204" t="s">
        <v>12</v>
      </c>
      <c r="F204">
        <v>47</v>
      </c>
      <c r="G204">
        <v>1</v>
      </c>
      <c r="H204">
        <v>0</v>
      </c>
      <c r="I204" t="s">
        <v>408</v>
      </c>
      <c r="J204" s="9">
        <v>44</v>
      </c>
      <c r="K204" t="s">
        <v>33</v>
      </c>
      <c r="L204">
        <v>1</v>
      </c>
    </row>
    <row r="205" spans="1:12" x14ac:dyDescent="0.25">
      <c r="A205">
        <v>1095</v>
      </c>
      <c r="B205">
        <v>1</v>
      </c>
      <c r="C205">
        <v>2</v>
      </c>
      <c r="D205" t="s">
        <v>409</v>
      </c>
      <c r="E205" t="s">
        <v>16</v>
      </c>
      <c r="F205">
        <v>8</v>
      </c>
      <c r="G205">
        <v>1</v>
      </c>
      <c r="H205">
        <v>1</v>
      </c>
      <c r="I205" t="s">
        <v>410</v>
      </c>
      <c r="J205" s="9">
        <v>26</v>
      </c>
      <c r="K205" t="s">
        <v>18</v>
      </c>
      <c r="L205">
        <v>1</v>
      </c>
    </row>
    <row r="206" spans="1:12" x14ac:dyDescent="0.25">
      <c r="A206">
        <v>1096</v>
      </c>
      <c r="B206">
        <v>0</v>
      </c>
      <c r="C206">
        <v>2</v>
      </c>
      <c r="D206" t="s">
        <v>411</v>
      </c>
      <c r="E206" t="s">
        <v>12</v>
      </c>
      <c r="F206">
        <v>25</v>
      </c>
      <c r="G206">
        <v>0</v>
      </c>
      <c r="H206">
        <v>0</v>
      </c>
      <c r="I206" t="s">
        <v>412</v>
      </c>
      <c r="J206" s="9">
        <v>10.5</v>
      </c>
      <c r="K206" t="s">
        <v>18</v>
      </c>
      <c r="L206">
        <v>1</v>
      </c>
    </row>
    <row r="207" spans="1:12" x14ac:dyDescent="0.25">
      <c r="A207">
        <v>1097</v>
      </c>
      <c r="B207">
        <v>0</v>
      </c>
      <c r="C207">
        <v>1</v>
      </c>
      <c r="D207" t="s">
        <v>413</v>
      </c>
      <c r="E207" t="s">
        <v>12</v>
      </c>
      <c r="F207">
        <v>38</v>
      </c>
      <c r="G207">
        <v>0</v>
      </c>
      <c r="H207">
        <v>0</v>
      </c>
      <c r="I207" t="s">
        <v>414</v>
      </c>
      <c r="J207" s="9">
        <v>56</v>
      </c>
      <c r="K207" t="s">
        <v>33</v>
      </c>
      <c r="L207">
        <v>1</v>
      </c>
    </row>
    <row r="208" spans="1:12" x14ac:dyDescent="0.25">
      <c r="A208">
        <v>1098</v>
      </c>
      <c r="B208">
        <v>1</v>
      </c>
      <c r="C208">
        <v>3</v>
      </c>
      <c r="D208" t="s">
        <v>415</v>
      </c>
      <c r="E208" t="s">
        <v>16</v>
      </c>
      <c r="F208">
        <v>35</v>
      </c>
      <c r="G208">
        <v>0</v>
      </c>
      <c r="H208">
        <v>0</v>
      </c>
      <c r="I208" t="s">
        <v>416</v>
      </c>
      <c r="J208" s="9">
        <v>7.75</v>
      </c>
      <c r="K208" t="s">
        <v>14</v>
      </c>
      <c r="L208">
        <v>1</v>
      </c>
    </row>
    <row r="209" spans="1:12" x14ac:dyDescent="0.25">
      <c r="A209">
        <v>1099</v>
      </c>
      <c r="B209">
        <v>0</v>
      </c>
      <c r="C209">
        <v>2</v>
      </c>
      <c r="D209" t="s">
        <v>417</v>
      </c>
      <c r="E209" t="s">
        <v>12</v>
      </c>
      <c r="F209">
        <v>24</v>
      </c>
      <c r="G209">
        <v>0</v>
      </c>
      <c r="H209">
        <v>0</v>
      </c>
      <c r="I209" t="s">
        <v>418</v>
      </c>
      <c r="J209" s="9">
        <v>10.5</v>
      </c>
      <c r="K209" t="s">
        <v>18</v>
      </c>
      <c r="L209">
        <v>1</v>
      </c>
    </row>
    <row r="210" spans="1:12" x14ac:dyDescent="0.25">
      <c r="A210">
        <v>1100</v>
      </c>
      <c r="B210">
        <v>1</v>
      </c>
      <c r="C210">
        <v>1</v>
      </c>
      <c r="D210" t="s">
        <v>419</v>
      </c>
      <c r="E210" t="s">
        <v>16</v>
      </c>
      <c r="F210">
        <v>33</v>
      </c>
      <c r="G210">
        <v>0</v>
      </c>
      <c r="H210">
        <v>0</v>
      </c>
      <c r="I210" t="s">
        <v>420</v>
      </c>
      <c r="J210" s="9">
        <v>53</v>
      </c>
      <c r="K210" t="s">
        <v>33</v>
      </c>
      <c r="L210">
        <v>1</v>
      </c>
    </row>
    <row r="211" spans="1:12" x14ac:dyDescent="0.25">
      <c r="A211">
        <v>1101</v>
      </c>
      <c r="B211">
        <v>0</v>
      </c>
      <c r="C211">
        <v>3</v>
      </c>
      <c r="D211" t="s">
        <v>421</v>
      </c>
      <c r="E211" t="s">
        <v>12</v>
      </c>
      <c r="F211">
        <v>25</v>
      </c>
      <c r="G211">
        <v>0</v>
      </c>
      <c r="H211">
        <v>0</v>
      </c>
      <c r="I211" t="s">
        <v>422</v>
      </c>
      <c r="J211" s="9">
        <v>78958</v>
      </c>
      <c r="K211" t="s">
        <v>18</v>
      </c>
      <c r="L211">
        <v>1</v>
      </c>
    </row>
    <row r="212" spans="1:12" x14ac:dyDescent="0.25">
      <c r="A212">
        <v>1102</v>
      </c>
      <c r="B212">
        <v>0</v>
      </c>
      <c r="C212">
        <v>3</v>
      </c>
      <c r="D212" t="s">
        <v>423</v>
      </c>
      <c r="E212" t="s">
        <v>12</v>
      </c>
      <c r="F212">
        <v>32</v>
      </c>
      <c r="G212">
        <v>0</v>
      </c>
      <c r="H212">
        <v>0</v>
      </c>
      <c r="I212" t="s">
        <v>223</v>
      </c>
      <c r="J212" s="9">
        <v>22525</v>
      </c>
      <c r="K212" t="s">
        <v>18</v>
      </c>
      <c r="L212">
        <v>1</v>
      </c>
    </row>
    <row r="213" spans="1:12" x14ac:dyDescent="0.25">
      <c r="A213">
        <v>1103</v>
      </c>
      <c r="B213">
        <v>0</v>
      </c>
      <c r="C213">
        <v>3</v>
      </c>
      <c r="D213" t="s">
        <v>424</v>
      </c>
      <c r="E213" t="s">
        <v>12</v>
      </c>
      <c r="F213">
        <v>49</v>
      </c>
      <c r="G213">
        <v>0</v>
      </c>
      <c r="H213">
        <v>0</v>
      </c>
      <c r="I213" t="s">
        <v>425</v>
      </c>
      <c r="J213" s="9">
        <v>7.05</v>
      </c>
      <c r="K213" t="s">
        <v>18</v>
      </c>
      <c r="L213">
        <v>1</v>
      </c>
    </row>
    <row r="214" spans="1:12" x14ac:dyDescent="0.25">
      <c r="A214">
        <v>1104</v>
      </c>
      <c r="B214">
        <v>0</v>
      </c>
      <c r="C214">
        <v>2</v>
      </c>
      <c r="D214" t="s">
        <v>426</v>
      </c>
      <c r="E214" t="s">
        <v>12</v>
      </c>
      <c r="F214">
        <v>17</v>
      </c>
      <c r="G214">
        <v>0</v>
      </c>
      <c r="H214">
        <v>0</v>
      </c>
      <c r="I214" t="s">
        <v>427</v>
      </c>
      <c r="J214" s="9">
        <v>73.5</v>
      </c>
      <c r="K214" t="s">
        <v>18</v>
      </c>
      <c r="L214">
        <v>1</v>
      </c>
    </row>
    <row r="215" spans="1:12" x14ac:dyDescent="0.25">
      <c r="A215">
        <v>1105</v>
      </c>
      <c r="B215">
        <v>1</v>
      </c>
      <c r="C215">
        <v>2</v>
      </c>
      <c r="D215" t="s">
        <v>428</v>
      </c>
      <c r="E215" t="s">
        <v>16</v>
      </c>
      <c r="F215">
        <v>60</v>
      </c>
      <c r="G215">
        <v>1</v>
      </c>
      <c r="H215">
        <v>0</v>
      </c>
      <c r="I215" t="s">
        <v>43</v>
      </c>
      <c r="J215" s="9">
        <v>26</v>
      </c>
      <c r="K215" t="s">
        <v>18</v>
      </c>
      <c r="L215">
        <v>1</v>
      </c>
    </row>
    <row r="216" spans="1:12" x14ac:dyDescent="0.25">
      <c r="A216">
        <v>1106</v>
      </c>
      <c r="B216">
        <v>1</v>
      </c>
      <c r="C216">
        <v>3</v>
      </c>
      <c r="D216" t="s">
        <v>429</v>
      </c>
      <c r="E216" t="s">
        <v>16</v>
      </c>
      <c r="F216">
        <v>38</v>
      </c>
      <c r="G216">
        <v>4</v>
      </c>
      <c r="H216">
        <v>2</v>
      </c>
      <c r="I216" t="s">
        <v>430</v>
      </c>
      <c r="J216" s="9">
        <v>7775</v>
      </c>
      <c r="K216" t="s">
        <v>18</v>
      </c>
      <c r="L216">
        <v>1</v>
      </c>
    </row>
    <row r="217" spans="1:12" x14ac:dyDescent="0.25">
      <c r="A217">
        <v>1107</v>
      </c>
      <c r="B217">
        <v>0</v>
      </c>
      <c r="C217">
        <v>1</v>
      </c>
      <c r="D217" t="s">
        <v>431</v>
      </c>
      <c r="E217" t="s">
        <v>12</v>
      </c>
      <c r="F217">
        <v>42</v>
      </c>
      <c r="G217">
        <v>0</v>
      </c>
      <c r="H217">
        <v>0</v>
      </c>
      <c r="I217" t="s">
        <v>432</v>
      </c>
      <c r="J217" s="9">
        <v>42.5</v>
      </c>
      <c r="K217" t="s">
        <v>18</v>
      </c>
      <c r="L217">
        <v>1</v>
      </c>
    </row>
    <row r="218" spans="1:12" x14ac:dyDescent="0.25">
      <c r="A218">
        <v>1108</v>
      </c>
      <c r="B218">
        <v>1</v>
      </c>
      <c r="C218">
        <v>3</v>
      </c>
      <c r="D218" t="s">
        <v>433</v>
      </c>
      <c r="E218" t="s">
        <v>16</v>
      </c>
      <c r="F218">
        <v>50</v>
      </c>
      <c r="G218">
        <v>0</v>
      </c>
      <c r="H218">
        <v>0</v>
      </c>
      <c r="I218" t="s">
        <v>434</v>
      </c>
      <c r="J218" s="9">
        <v>78792</v>
      </c>
      <c r="K218" t="s">
        <v>14</v>
      </c>
      <c r="L218">
        <v>1</v>
      </c>
    </row>
    <row r="219" spans="1:12" x14ac:dyDescent="0.25">
      <c r="A219">
        <v>1109</v>
      </c>
      <c r="B219">
        <v>0</v>
      </c>
      <c r="C219">
        <v>1</v>
      </c>
      <c r="D219" t="s">
        <v>435</v>
      </c>
      <c r="E219" t="s">
        <v>12</v>
      </c>
      <c r="F219">
        <v>57</v>
      </c>
      <c r="G219">
        <v>1</v>
      </c>
      <c r="H219">
        <v>1</v>
      </c>
      <c r="I219" t="s">
        <v>436</v>
      </c>
      <c r="J219" s="9">
        <v>23</v>
      </c>
      <c r="K219" t="s">
        <v>18</v>
      </c>
      <c r="L219">
        <v>1</v>
      </c>
    </row>
    <row r="220" spans="1:12" x14ac:dyDescent="0.25">
      <c r="A220">
        <v>1110</v>
      </c>
      <c r="B220">
        <v>1</v>
      </c>
      <c r="C220">
        <v>1</v>
      </c>
      <c r="D220" t="s">
        <v>437</v>
      </c>
      <c r="E220" t="s">
        <v>16</v>
      </c>
      <c r="F220">
        <v>50</v>
      </c>
      <c r="G220">
        <v>1</v>
      </c>
      <c r="H220">
        <v>1</v>
      </c>
      <c r="I220" t="s">
        <v>162</v>
      </c>
      <c r="J220" s="9">
        <v>38</v>
      </c>
      <c r="K220" t="s">
        <v>33</v>
      </c>
      <c r="L220">
        <v>1</v>
      </c>
    </row>
    <row r="221" spans="1:12" x14ac:dyDescent="0.25">
      <c r="A221">
        <v>1111</v>
      </c>
      <c r="B221">
        <v>0</v>
      </c>
      <c r="C221">
        <v>3</v>
      </c>
      <c r="D221" t="s">
        <v>438</v>
      </c>
      <c r="E221" t="s">
        <v>12</v>
      </c>
      <c r="F221">
        <v>20</v>
      </c>
      <c r="G221">
        <v>0</v>
      </c>
      <c r="H221">
        <v>0</v>
      </c>
      <c r="I221" t="s">
        <v>439</v>
      </c>
      <c r="J221" s="9">
        <v>8.0500000000000007</v>
      </c>
      <c r="K221" t="s">
        <v>18</v>
      </c>
      <c r="L221">
        <v>1</v>
      </c>
    </row>
    <row r="222" spans="1:12" x14ac:dyDescent="0.25">
      <c r="A222">
        <v>1112</v>
      </c>
      <c r="B222">
        <v>1</v>
      </c>
      <c r="C222">
        <v>2</v>
      </c>
      <c r="D222" t="s">
        <v>440</v>
      </c>
      <c r="E222" t="s">
        <v>16</v>
      </c>
      <c r="F222">
        <v>30</v>
      </c>
      <c r="G222">
        <v>1</v>
      </c>
      <c r="H222">
        <v>0</v>
      </c>
      <c r="I222" t="s">
        <v>441</v>
      </c>
      <c r="J222" s="9">
        <v>138583</v>
      </c>
      <c r="K222" t="s">
        <v>33</v>
      </c>
      <c r="L222">
        <v>1</v>
      </c>
    </row>
    <row r="223" spans="1:12" x14ac:dyDescent="0.25">
      <c r="A223">
        <v>1113</v>
      </c>
      <c r="B223">
        <v>0</v>
      </c>
      <c r="C223">
        <v>3</v>
      </c>
      <c r="D223" t="s">
        <v>442</v>
      </c>
      <c r="E223" t="s">
        <v>12</v>
      </c>
      <c r="F223">
        <v>21</v>
      </c>
      <c r="G223">
        <v>0</v>
      </c>
      <c r="H223">
        <v>0</v>
      </c>
      <c r="I223" t="s">
        <v>443</v>
      </c>
      <c r="J223" s="9">
        <v>8.0500000000000007</v>
      </c>
      <c r="K223" t="s">
        <v>18</v>
      </c>
      <c r="L223">
        <v>1</v>
      </c>
    </row>
    <row r="224" spans="1:12" x14ac:dyDescent="0.25">
      <c r="A224">
        <v>1114</v>
      </c>
      <c r="B224">
        <v>1</v>
      </c>
      <c r="C224">
        <v>2</v>
      </c>
      <c r="D224" t="s">
        <v>444</v>
      </c>
      <c r="E224" t="s">
        <v>16</v>
      </c>
      <c r="F224">
        <v>22</v>
      </c>
      <c r="G224">
        <v>0</v>
      </c>
      <c r="H224">
        <v>0</v>
      </c>
      <c r="I224" t="s">
        <v>445</v>
      </c>
      <c r="J224" s="9">
        <v>10.5</v>
      </c>
      <c r="K224" t="s">
        <v>18</v>
      </c>
      <c r="L224">
        <v>1</v>
      </c>
    </row>
    <row r="225" spans="1:12" x14ac:dyDescent="0.25">
      <c r="A225">
        <v>1115</v>
      </c>
      <c r="B225">
        <v>0</v>
      </c>
      <c r="C225">
        <v>3</v>
      </c>
      <c r="D225" t="s">
        <v>446</v>
      </c>
      <c r="E225" t="s">
        <v>12</v>
      </c>
      <c r="F225">
        <v>21</v>
      </c>
      <c r="G225">
        <v>0</v>
      </c>
      <c r="H225">
        <v>0</v>
      </c>
      <c r="I225" t="s">
        <v>447</v>
      </c>
      <c r="J225" s="9">
        <v>77958</v>
      </c>
      <c r="K225" t="s">
        <v>18</v>
      </c>
      <c r="L225">
        <v>1</v>
      </c>
    </row>
    <row r="226" spans="1:12" x14ac:dyDescent="0.25">
      <c r="A226">
        <v>1116</v>
      </c>
      <c r="B226">
        <v>1</v>
      </c>
      <c r="C226">
        <v>1</v>
      </c>
      <c r="D226" t="s">
        <v>448</v>
      </c>
      <c r="E226" t="s">
        <v>16</v>
      </c>
      <c r="F226">
        <v>53</v>
      </c>
      <c r="G226">
        <v>0</v>
      </c>
      <c r="H226">
        <v>0</v>
      </c>
      <c r="I226" t="s">
        <v>449</v>
      </c>
      <c r="J226" s="9">
        <v>53</v>
      </c>
      <c r="K226" t="s">
        <v>33</v>
      </c>
      <c r="L226">
        <v>1</v>
      </c>
    </row>
    <row r="227" spans="1:12" x14ac:dyDescent="0.25">
      <c r="A227">
        <v>1117</v>
      </c>
      <c r="B227">
        <v>1</v>
      </c>
      <c r="C227">
        <v>3</v>
      </c>
      <c r="D227" t="s">
        <v>450</v>
      </c>
      <c r="E227" t="s">
        <v>16</v>
      </c>
      <c r="F227">
        <v>44</v>
      </c>
      <c r="G227">
        <v>0</v>
      </c>
      <c r="H227">
        <v>2</v>
      </c>
      <c r="I227" t="s">
        <v>451</v>
      </c>
      <c r="J227" s="9">
        <v>152458</v>
      </c>
      <c r="K227" t="s">
        <v>33</v>
      </c>
      <c r="L227">
        <v>1</v>
      </c>
    </row>
    <row r="228" spans="1:12" x14ac:dyDescent="0.25">
      <c r="A228">
        <v>1118</v>
      </c>
      <c r="B228">
        <v>0</v>
      </c>
      <c r="C228">
        <v>3</v>
      </c>
      <c r="D228" t="s">
        <v>452</v>
      </c>
      <c r="E228" t="s">
        <v>12</v>
      </c>
      <c r="F228">
        <v>23</v>
      </c>
      <c r="G228">
        <v>0</v>
      </c>
      <c r="H228">
        <v>0</v>
      </c>
      <c r="I228" t="s">
        <v>453</v>
      </c>
      <c r="J228" s="9">
        <v>77958</v>
      </c>
      <c r="K228" t="s">
        <v>18</v>
      </c>
      <c r="L228">
        <v>1</v>
      </c>
    </row>
    <row r="229" spans="1:12" x14ac:dyDescent="0.25">
      <c r="A229">
        <v>1119</v>
      </c>
      <c r="B229">
        <v>1</v>
      </c>
      <c r="C229">
        <v>3</v>
      </c>
      <c r="D229" t="s">
        <v>454</v>
      </c>
      <c r="E229" t="s">
        <v>16</v>
      </c>
      <c r="F229">
        <v>34</v>
      </c>
      <c r="G229">
        <v>0</v>
      </c>
      <c r="H229">
        <v>0</v>
      </c>
      <c r="I229" t="s">
        <v>455</v>
      </c>
      <c r="J229" s="9">
        <v>7.75</v>
      </c>
      <c r="K229" t="s">
        <v>14</v>
      </c>
      <c r="L229">
        <v>1</v>
      </c>
    </row>
    <row r="230" spans="1:12" x14ac:dyDescent="0.25">
      <c r="A230">
        <v>1120</v>
      </c>
      <c r="B230">
        <v>0</v>
      </c>
      <c r="C230">
        <v>3</v>
      </c>
      <c r="D230" t="s">
        <v>456</v>
      </c>
      <c r="E230" t="s">
        <v>12</v>
      </c>
      <c r="F230">
        <v>40.5</v>
      </c>
      <c r="G230">
        <v>0</v>
      </c>
      <c r="H230">
        <v>0</v>
      </c>
      <c r="I230" t="s">
        <v>457</v>
      </c>
      <c r="J230" s="9">
        <v>15.1</v>
      </c>
      <c r="K230" t="s">
        <v>18</v>
      </c>
      <c r="L230">
        <v>1</v>
      </c>
    </row>
    <row r="231" spans="1:12" x14ac:dyDescent="0.25">
      <c r="A231">
        <v>1121</v>
      </c>
      <c r="B231">
        <v>0</v>
      </c>
      <c r="C231">
        <v>2</v>
      </c>
      <c r="D231" t="s">
        <v>458</v>
      </c>
      <c r="E231" t="s">
        <v>12</v>
      </c>
      <c r="F231">
        <v>36</v>
      </c>
      <c r="G231">
        <v>0</v>
      </c>
      <c r="H231">
        <v>0</v>
      </c>
      <c r="I231" t="s">
        <v>459</v>
      </c>
      <c r="J231" s="9">
        <v>13</v>
      </c>
      <c r="K231" t="s">
        <v>18</v>
      </c>
      <c r="L231">
        <v>1</v>
      </c>
    </row>
    <row r="232" spans="1:12" x14ac:dyDescent="0.25">
      <c r="A232">
        <v>1122</v>
      </c>
      <c r="B232">
        <v>0</v>
      </c>
      <c r="C232">
        <v>2</v>
      </c>
      <c r="D232" t="s">
        <v>460</v>
      </c>
      <c r="E232" t="s">
        <v>12</v>
      </c>
      <c r="F232">
        <v>14</v>
      </c>
      <c r="G232">
        <v>0</v>
      </c>
      <c r="H232">
        <v>0</v>
      </c>
      <c r="I232" t="s">
        <v>461</v>
      </c>
      <c r="J232" s="9">
        <v>65</v>
      </c>
      <c r="K232" t="s">
        <v>18</v>
      </c>
      <c r="L232">
        <v>1</v>
      </c>
    </row>
    <row r="233" spans="1:12" x14ac:dyDescent="0.25">
      <c r="A233">
        <v>1123</v>
      </c>
      <c r="B233">
        <v>1</v>
      </c>
      <c r="C233">
        <v>1</v>
      </c>
      <c r="D233" t="s">
        <v>462</v>
      </c>
      <c r="E233" t="s">
        <v>16</v>
      </c>
      <c r="F233">
        <v>21</v>
      </c>
      <c r="G233">
        <v>0</v>
      </c>
      <c r="H233">
        <v>0</v>
      </c>
      <c r="I233" t="s">
        <v>463</v>
      </c>
      <c r="J233" s="9">
        <v>26.55</v>
      </c>
      <c r="K233" t="s">
        <v>18</v>
      </c>
      <c r="L233">
        <v>1</v>
      </c>
    </row>
    <row r="234" spans="1:12" x14ac:dyDescent="0.25">
      <c r="A234">
        <v>1124</v>
      </c>
      <c r="B234">
        <v>0</v>
      </c>
      <c r="C234">
        <v>3</v>
      </c>
      <c r="D234" t="s">
        <v>464</v>
      </c>
      <c r="E234" t="s">
        <v>12</v>
      </c>
      <c r="F234">
        <v>21</v>
      </c>
      <c r="G234">
        <v>1</v>
      </c>
      <c r="H234">
        <v>0</v>
      </c>
      <c r="I234" t="s">
        <v>465</v>
      </c>
      <c r="J234" s="9">
        <v>64958</v>
      </c>
      <c r="K234" t="s">
        <v>18</v>
      </c>
      <c r="L234">
        <v>1</v>
      </c>
    </row>
    <row r="235" spans="1:12" x14ac:dyDescent="0.25">
      <c r="A235">
        <v>1125</v>
      </c>
      <c r="B235">
        <v>0</v>
      </c>
      <c r="C235">
        <v>3</v>
      </c>
      <c r="D235" t="s">
        <v>466</v>
      </c>
      <c r="E235" t="s">
        <v>12</v>
      </c>
      <c r="F235">
        <v>29</v>
      </c>
      <c r="G235">
        <v>0</v>
      </c>
      <c r="H235">
        <v>0</v>
      </c>
      <c r="I235" t="s">
        <v>467</v>
      </c>
      <c r="J235" s="9">
        <v>78792</v>
      </c>
      <c r="K235" t="s">
        <v>14</v>
      </c>
      <c r="L235">
        <v>1</v>
      </c>
    </row>
    <row r="236" spans="1:12" x14ac:dyDescent="0.25">
      <c r="A236">
        <v>1126</v>
      </c>
      <c r="B236">
        <v>0</v>
      </c>
      <c r="C236">
        <v>1</v>
      </c>
      <c r="D236" t="s">
        <v>468</v>
      </c>
      <c r="E236" t="s">
        <v>12</v>
      </c>
      <c r="F236">
        <v>39</v>
      </c>
      <c r="G236">
        <v>1</v>
      </c>
      <c r="H236">
        <v>0</v>
      </c>
      <c r="I236" t="s">
        <v>469</v>
      </c>
      <c r="J236" s="9">
        <v>21</v>
      </c>
      <c r="K236" t="s">
        <v>33</v>
      </c>
      <c r="L236">
        <v>1</v>
      </c>
    </row>
    <row r="237" spans="1:12" x14ac:dyDescent="0.25">
      <c r="A237">
        <v>1127</v>
      </c>
      <c r="B237">
        <v>0</v>
      </c>
      <c r="C237">
        <v>3</v>
      </c>
      <c r="D237" t="s">
        <v>470</v>
      </c>
      <c r="E237" t="s">
        <v>12</v>
      </c>
      <c r="F237">
        <v>20</v>
      </c>
      <c r="G237">
        <v>0</v>
      </c>
      <c r="H237">
        <v>0</v>
      </c>
      <c r="I237" t="s">
        <v>471</v>
      </c>
      <c r="J237" s="9">
        <v>78542</v>
      </c>
      <c r="K237" t="s">
        <v>18</v>
      </c>
      <c r="L237">
        <v>1</v>
      </c>
    </row>
    <row r="238" spans="1:12" x14ac:dyDescent="0.25">
      <c r="A238">
        <v>1128</v>
      </c>
      <c r="B238">
        <v>0</v>
      </c>
      <c r="C238">
        <v>1</v>
      </c>
      <c r="D238" t="s">
        <v>472</v>
      </c>
      <c r="E238" t="s">
        <v>12</v>
      </c>
      <c r="F238">
        <v>64</v>
      </c>
      <c r="G238">
        <v>1</v>
      </c>
      <c r="H238">
        <v>0</v>
      </c>
      <c r="I238" t="s">
        <v>473</v>
      </c>
      <c r="J238" s="9">
        <v>75.25</v>
      </c>
      <c r="K238" t="s">
        <v>33</v>
      </c>
      <c r="L238">
        <v>1</v>
      </c>
    </row>
    <row r="239" spans="1:12" x14ac:dyDescent="0.25">
      <c r="A239">
        <v>1129</v>
      </c>
      <c r="B239">
        <v>0</v>
      </c>
      <c r="C239">
        <v>3</v>
      </c>
      <c r="D239" t="s">
        <v>474</v>
      </c>
      <c r="E239" t="s">
        <v>12</v>
      </c>
      <c r="F239">
        <v>20</v>
      </c>
      <c r="G239">
        <v>0</v>
      </c>
      <c r="H239">
        <v>0</v>
      </c>
      <c r="I239" t="s">
        <v>475</v>
      </c>
      <c r="J239" s="9">
        <v>7225</v>
      </c>
      <c r="K239" t="s">
        <v>33</v>
      </c>
      <c r="L239">
        <v>1</v>
      </c>
    </row>
    <row r="240" spans="1:12" x14ac:dyDescent="0.25">
      <c r="A240">
        <v>1130</v>
      </c>
      <c r="B240">
        <v>1</v>
      </c>
      <c r="C240">
        <v>2</v>
      </c>
      <c r="D240" t="s">
        <v>476</v>
      </c>
      <c r="E240" t="s">
        <v>16</v>
      </c>
      <c r="F240">
        <v>18</v>
      </c>
      <c r="G240">
        <v>1</v>
      </c>
      <c r="H240">
        <v>1</v>
      </c>
      <c r="I240" t="s">
        <v>477</v>
      </c>
      <c r="J240" s="9">
        <v>13</v>
      </c>
      <c r="K240" t="s">
        <v>18</v>
      </c>
      <c r="L240">
        <v>1</v>
      </c>
    </row>
    <row r="241" spans="1:12" x14ac:dyDescent="0.25">
      <c r="A241">
        <v>1131</v>
      </c>
      <c r="B241">
        <v>1</v>
      </c>
      <c r="C241">
        <v>1</v>
      </c>
      <c r="D241" t="s">
        <v>478</v>
      </c>
      <c r="E241" t="s">
        <v>16</v>
      </c>
      <c r="F241">
        <v>48</v>
      </c>
      <c r="G241">
        <v>1</v>
      </c>
      <c r="H241">
        <v>0</v>
      </c>
      <c r="I241" t="s">
        <v>479</v>
      </c>
      <c r="J241" s="9">
        <v>57</v>
      </c>
      <c r="K241" t="s">
        <v>33</v>
      </c>
      <c r="L241">
        <v>1</v>
      </c>
    </row>
    <row r="242" spans="1:12" x14ac:dyDescent="0.25">
      <c r="A242">
        <v>1132</v>
      </c>
      <c r="B242">
        <v>1</v>
      </c>
      <c r="C242">
        <v>1</v>
      </c>
      <c r="D242" t="s">
        <v>480</v>
      </c>
      <c r="E242" t="s">
        <v>16</v>
      </c>
      <c r="F242">
        <v>55</v>
      </c>
      <c r="G242">
        <v>0</v>
      </c>
      <c r="H242">
        <v>0</v>
      </c>
      <c r="I242" t="s">
        <v>481</v>
      </c>
      <c r="J242" s="9">
        <v>36</v>
      </c>
      <c r="K242" t="s">
        <v>33</v>
      </c>
      <c r="L242">
        <v>1</v>
      </c>
    </row>
    <row r="243" spans="1:12" x14ac:dyDescent="0.25">
      <c r="A243">
        <v>1133</v>
      </c>
      <c r="B243">
        <v>1</v>
      </c>
      <c r="C243">
        <v>2</v>
      </c>
      <c r="D243" t="s">
        <v>482</v>
      </c>
      <c r="E243" t="s">
        <v>16</v>
      </c>
      <c r="F243">
        <v>45</v>
      </c>
      <c r="G243">
        <v>0</v>
      </c>
      <c r="H243">
        <v>2</v>
      </c>
      <c r="I243" t="s">
        <v>483</v>
      </c>
      <c r="J243" s="9">
        <v>30</v>
      </c>
      <c r="K243" t="s">
        <v>18</v>
      </c>
      <c r="L243">
        <v>1</v>
      </c>
    </row>
    <row r="244" spans="1:12" x14ac:dyDescent="0.25">
      <c r="A244">
        <v>1134</v>
      </c>
      <c r="B244">
        <v>0</v>
      </c>
      <c r="C244">
        <v>1</v>
      </c>
      <c r="D244" t="s">
        <v>484</v>
      </c>
      <c r="E244" t="s">
        <v>12</v>
      </c>
      <c r="F244">
        <v>45</v>
      </c>
      <c r="G244">
        <v>1</v>
      </c>
      <c r="H244">
        <v>1</v>
      </c>
      <c r="I244" t="s">
        <v>396</v>
      </c>
      <c r="J244" s="9">
        <v>134.5</v>
      </c>
      <c r="K244" t="s">
        <v>33</v>
      </c>
      <c r="L244">
        <v>1</v>
      </c>
    </row>
    <row r="245" spans="1:12" x14ac:dyDescent="0.25">
      <c r="A245">
        <v>1135</v>
      </c>
      <c r="B245">
        <v>0</v>
      </c>
      <c r="C245">
        <v>3</v>
      </c>
      <c r="D245" t="s">
        <v>485</v>
      </c>
      <c r="E245" t="s">
        <v>12</v>
      </c>
      <c r="F245">
        <v>45</v>
      </c>
      <c r="G245">
        <v>0</v>
      </c>
      <c r="H245">
        <v>0</v>
      </c>
      <c r="I245" t="s">
        <v>486</v>
      </c>
      <c r="J245" s="9">
        <v>78875</v>
      </c>
      <c r="K245" t="s">
        <v>18</v>
      </c>
      <c r="L245">
        <v>1</v>
      </c>
    </row>
    <row r="246" spans="1:12" x14ac:dyDescent="0.25">
      <c r="A246">
        <v>1136</v>
      </c>
      <c r="B246">
        <v>0</v>
      </c>
      <c r="C246">
        <v>3</v>
      </c>
      <c r="D246" t="s">
        <v>487</v>
      </c>
      <c r="E246" t="s">
        <v>12</v>
      </c>
      <c r="F246">
        <v>25</v>
      </c>
      <c r="G246">
        <v>1</v>
      </c>
      <c r="H246">
        <v>2</v>
      </c>
      <c r="I246" t="s">
        <v>83</v>
      </c>
      <c r="J246" s="9">
        <v>23.45</v>
      </c>
      <c r="K246" t="s">
        <v>18</v>
      </c>
      <c r="L246">
        <v>1</v>
      </c>
    </row>
    <row r="247" spans="1:12" x14ac:dyDescent="0.25">
      <c r="A247">
        <v>1137</v>
      </c>
      <c r="B247">
        <v>0</v>
      </c>
      <c r="C247">
        <v>1</v>
      </c>
      <c r="D247" t="s">
        <v>488</v>
      </c>
      <c r="E247" t="s">
        <v>12</v>
      </c>
      <c r="F247">
        <v>41</v>
      </c>
      <c r="G247">
        <v>1</v>
      </c>
      <c r="H247">
        <v>0</v>
      </c>
      <c r="I247" t="s">
        <v>489</v>
      </c>
      <c r="J247" s="9">
        <v>27</v>
      </c>
      <c r="K247" t="s">
        <v>18</v>
      </c>
      <c r="L247">
        <v>1</v>
      </c>
    </row>
    <row r="248" spans="1:12" x14ac:dyDescent="0.25">
      <c r="A248">
        <v>1138</v>
      </c>
      <c r="B248">
        <v>1</v>
      </c>
      <c r="C248">
        <v>2</v>
      </c>
      <c r="D248" t="s">
        <v>490</v>
      </c>
      <c r="E248" t="s">
        <v>16</v>
      </c>
      <c r="F248">
        <v>22</v>
      </c>
      <c r="G248">
        <v>0</v>
      </c>
      <c r="H248">
        <v>0</v>
      </c>
      <c r="I248" t="s">
        <v>145</v>
      </c>
      <c r="J248" s="9">
        <v>21</v>
      </c>
      <c r="K248" t="s">
        <v>18</v>
      </c>
      <c r="L248">
        <v>1</v>
      </c>
    </row>
    <row r="249" spans="1:12" x14ac:dyDescent="0.25">
      <c r="A249">
        <v>1139</v>
      </c>
      <c r="B249">
        <v>0</v>
      </c>
      <c r="C249">
        <v>2</v>
      </c>
      <c r="D249" t="s">
        <v>491</v>
      </c>
      <c r="E249" t="s">
        <v>12</v>
      </c>
      <c r="F249">
        <v>42</v>
      </c>
      <c r="G249">
        <v>1</v>
      </c>
      <c r="H249">
        <v>1</v>
      </c>
      <c r="I249" t="s">
        <v>392</v>
      </c>
      <c r="J249" s="9">
        <v>32.5</v>
      </c>
      <c r="K249" t="s">
        <v>18</v>
      </c>
      <c r="L249">
        <v>1</v>
      </c>
    </row>
    <row r="250" spans="1:12" x14ac:dyDescent="0.25">
      <c r="A250">
        <v>1140</v>
      </c>
      <c r="B250">
        <v>1</v>
      </c>
      <c r="C250">
        <v>2</v>
      </c>
      <c r="D250" t="s">
        <v>492</v>
      </c>
      <c r="E250" t="s">
        <v>16</v>
      </c>
      <c r="F250">
        <v>29</v>
      </c>
      <c r="G250">
        <v>1</v>
      </c>
      <c r="H250">
        <v>0</v>
      </c>
      <c r="I250" t="s">
        <v>493</v>
      </c>
      <c r="J250" s="9">
        <v>26</v>
      </c>
      <c r="K250" t="s">
        <v>18</v>
      </c>
      <c r="L250">
        <v>1</v>
      </c>
    </row>
    <row r="251" spans="1:12" x14ac:dyDescent="0.25">
      <c r="A251">
        <v>1141</v>
      </c>
      <c r="B251">
        <v>1</v>
      </c>
      <c r="C251">
        <v>3</v>
      </c>
      <c r="D251" t="s">
        <v>494</v>
      </c>
      <c r="E251" t="s">
        <v>16</v>
      </c>
      <c r="F251">
        <v>32</v>
      </c>
      <c r="G251">
        <v>1</v>
      </c>
      <c r="H251">
        <v>0</v>
      </c>
      <c r="I251" t="s">
        <v>183</v>
      </c>
      <c r="J251" s="9">
        <v>144542</v>
      </c>
      <c r="K251" t="s">
        <v>33</v>
      </c>
      <c r="L251">
        <v>1</v>
      </c>
    </row>
    <row r="252" spans="1:12" x14ac:dyDescent="0.25">
      <c r="A252">
        <v>1142</v>
      </c>
      <c r="B252">
        <v>1</v>
      </c>
      <c r="C252">
        <v>2</v>
      </c>
      <c r="D252" t="s">
        <v>495</v>
      </c>
      <c r="E252" t="s">
        <v>16</v>
      </c>
      <c r="F252">
        <v>0.92</v>
      </c>
      <c r="G252">
        <v>1</v>
      </c>
      <c r="H252">
        <v>2</v>
      </c>
      <c r="I252" t="s">
        <v>496</v>
      </c>
      <c r="J252" s="9">
        <v>27.75</v>
      </c>
      <c r="K252" t="s">
        <v>18</v>
      </c>
      <c r="L252">
        <v>1</v>
      </c>
    </row>
    <row r="253" spans="1:12" x14ac:dyDescent="0.25">
      <c r="A253">
        <v>1143</v>
      </c>
      <c r="B253">
        <v>0</v>
      </c>
      <c r="C253">
        <v>3</v>
      </c>
      <c r="D253" t="s">
        <v>497</v>
      </c>
      <c r="E253" t="s">
        <v>12</v>
      </c>
      <c r="F253">
        <v>20</v>
      </c>
      <c r="G253">
        <v>0</v>
      </c>
      <c r="H253">
        <v>0</v>
      </c>
      <c r="I253" t="s">
        <v>498</v>
      </c>
      <c r="J253" s="9">
        <v>7925</v>
      </c>
      <c r="K253" t="s">
        <v>18</v>
      </c>
      <c r="L253">
        <v>1</v>
      </c>
    </row>
    <row r="254" spans="1:12" x14ac:dyDescent="0.25">
      <c r="A254">
        <v>1144</v>
      </c>
      <c r="B254">
        <v>0</v>
      </c>
      <c r="C254">
        <v>1</v>
      </c>
      <c r="D254" t="s">
        <v>499</v>
      </c>
      <c r="E254" t="s">
        <v>12</v>
      </c>
      <c r="F254">
        <v>27</v>
      </c>
      <c r="G254">
        <v>1</v>
      </c>
      <c r="H254">
        <v>0</v>
      </c>
      <c r="I254" t="s">
        <v>500</v>
      </c>
      <c r="J254" s="9">
        <v>37</v>
      </c>
      <c r="K254" t="s">
        <v>33</v>
      </c>
      <c r="L254">
        <v>1</v>
      </c>
    </row>
    <row r="255" spans="1:12" x14ac:dyDescent="0.25">
      <c r="A255">
        <v>1145</v>
      </c>
      <c r="B255">
        <v>0</v>
      </c>
      <c r="C255">
        <v>3</v>
      </c>
      <c r="D255" t="s">
        <v>501</v>
      </c>
      <c r="E255" t="s">
        <v>12</v>
      </c>
      <c r="F255">
        <v>24</v>
      </c>
      <c r="G255">
        <v>0</v>
      </c>
      <c r="H255">
        <v>0</v>
      </c>
      <c r="I255" t="s">
        <v>502</v>
      </c>
      <c r="J255" s="9">
        <v>9325</v>
      </c>
      <c r="K255" t="s">
        <v>18</v>
      </c>
      <c r="L255">
        <v>1</v>
      </c>
    </row>
    <row r="256" spans="1:12" x14ac:dyDescent="0.25">
      <c r="A256">
        <v>1146</v>
      </c>
      <c r="B256">
        <v>0</v>
      </c>
      <c r="C256">
        <v>3</v>
      </c>
      <c r="D256" t="s">
        <v>503</v>
      </c>
      <c r="E256" t="s">
        <v>12</v>
      </c>
      <c r="F256">
        <v>32.5</v>
      </c>
      <c r="G256">
        <v>0</v>
      </c>
      <c r="H256">
        <v>0</v>
      </c>
      <c r="I256" t="s">
        <v>504</v>
      </c>
      <c r="J256" s="9">
        <v>9.5</v>
      </c>
      <c r="K256" t="s">
        <v>18</v>
      </c>
      <c r="L256">
        <v>1</v>
      </c>
    </row>
    <row r="257" spans="1:12" x14ac:dyDescent="0.25">
      <c r="A257">
        <v>1147</v>
      </c>
      <c r="B257">
        <v>0</v>
      </c>
      <c r="C257">
        <v>3</v>
      </c>
      <c r="D257" t="s">
        <v>505</v>
      </c>
      <c r="E257" t="s">
        <v>12</v>
      </c>
      <c r="F257">
        <v>49</v>
      </c>
      <c r="G257">
        <v>0</v>
      </c>
      <c r="H257">
        <v>0</v>
      </c>
      <c r="I257" t="s">
        <v>506</v>
      </c>
      <c r="J257" s="9">
        <v>7.55</v>
      </c>
      <c r="K257" t="s">
        <v>18</v>
      </c>
      <c r="L257">
        <v>1</v>
      </c>
    </row>
    <row r="258" spans="1:12" x14ac:dyDescent="0.25">
      <c r="A258">
        <v>1148</v>
      </c>
      <c r="B258">
        <v>0</v>
      </c>
      <c r="C258">
        <v>3</v>
      </c>
      <c r="D258" t="s">
        <v>507</v>
      </c>
      <c r="E258" t="s">
        <v>12</v>
      </c>
      <c r="F258">
        <v>35</v>
      </c>
      <c r="G258">
        <v>0</v>
      </c>
      <c r="H258">
        <v>0</v>
      </c>
      <c r="I258" t="s">
        <v>508</v>
      </c>
      <c r="J258" s="9">
        <v>7.75</v>
      </c>
      <c r="K258" t="s">
        <v>14</v>
      </c>
      <c r="L258">
        <v>1</v>
      </c>
    </row>
    <row r="259" spans="1:12" x14ac:dyDescent="0.25">
      <c r="A259">
        <v>1149</v>
      </c>
      <c r="B259">
        <v>0</v>
      </c>
      <c r="C259">
        <v>3</v>
      </c>
      <c r="D259" t="s">
        <v>509</v>
      </c>
      <c r="E259" t="s">
        <v>12</v>
      </c>
      <c r="F259">
        <v>28</v>
      </c>
      <c r="G259">
        <v>0</v>
      </c>
      <c r="H259">
        <v>0</v>
      </c>
      <c r="I259" t="s">
        <v>510</v>
      </c>
      <c r="J259" s="9">
        <v>8.0500000000000007</v>
      </c>
      <c r="K259" t="s">
        <v>18</v>
      </c>
      <c r="L259">
        <v>1</v>
      </c>
    </row>
    <row r="260" spans="1:12" x14ac:dyDescent="0.25">
      <c r="A260">
        <v>1150</v>
      </c>
      <c r="B260">
        <v>1</v>
      </c>
      <c r="C260">
        <v>2</v>
      </c>
      <c r="D260" t="s">
        <v>511</v>
      </c>
      <c r="E260" t="s">
        <v>16</v>
      </c>
      <c r="F260">
        <v>19</v>
      </c>
      <c r="G260">
        <v>0</v>
      </c>
      <c r="H260">
        <v>0</v>
      </c>
      <c r="I260" t="s">
        <v>512</v>
      </c>
      <c r="J260" s="9">
        <v>13</v>
      </c>
      <c r="K260" t="s">
        <v>18</v>
      </c>
      <c r="L260">
        <v>1</v>
      </c>
    </row>
    <row r="261" spans="1:12" x14ac:dyDescent="0.25">
      <c r="A261">
        <v>1151</v>
      </c>
      <c r="B261">
        <v>0</v>
      </c>
      <c r="C261">
        <v>3</v>
      </c>
      <c r="D261" t="s">
        <v>513</v>
      </c>
      <c r="E261" t="s">
        <v>12</v>
      </c>
      <c r="F261">
        <v>21</v>
      </c>
      <c r="G261">
        <v>0</v>
      </c>
      <c r="H261">
        <v>0</v>
      </c>
      <c r="I261" t="s">
        <v>514</v>
      </c>
      <c r="J261" s="9">
        <v>7775</v>
      </c>
      <c r="K261" t="s">
        <v>18</v>
      </c>
      <c r="L261">
        <v>1</v>
      </c>
    </row>
    <row r="262" spans="1:12" x14ac:dyDescent="0.25">
      <c r="A262">
        <v>1152</v>
      </c>
      <c r="B262">
        <v>0</v>
      </c>
      <c r="C262">
        <v>3</v>
      </c>
      <c r="D262" t="s">
        <v>515</v>
      </c>
      <c r="E262" t="s">
        <v>12</v>
      </c>
      <c r="F262">
        <v>36.5</v>
      </c>
      <c r="G262">
        <v>1</v>
      </c>
      <c r="H262">
        <v>0</v>
      </c>
      <c r="I262" t="s">
        <v>516</v>
      </c>
      <c r="J262" s="9">
        <v>17.399999999999999</v>
      </c>
      <c r="K262" t="s">
        <v>18</v>
      </c>
      <c r="L262">
        <v>1</v>
      </c>
    </row>
    <row r="263" spans="1:12" x14ac:dyDescent="0.25">
      <c r="A263">
        <v>1153</v>
      </c>
      <c r="B263">
        <v>0</v>
      </c>
      <c r="C263">
        <v>3</v>
      </c>
      <c r="D263" t="s">
        <v>517</v>
      </c>
      <c r="E263" t="s">
        <v>12</v>
      </c>
      <c r="F263">
        <v>21</v>
      </c>
      <c r="G263">
        <v>0</v>
      </c>
      <c r="H263">
        <v>0</v>
      </c>
      <c r="I263" t="s">
        <v>518</v>
      </c>
      <c r="J263" s="9">
        <v>78542</v>
      </c>
      <c r="K263" t="s">
        <v>18</v>
      </c>
      <c r="L263">
        <v>1</v>
      </c>
    </row>
    <row r="264" spans="1:12" x14ac:dyDescent="0.25">
      <c r="A264">
        <v>1154</v>
      </c>
      <c r="B264">
        <v>1</v>
      </c>
      <c r="C264">
        <v>2</v>
      </c>
      <c r="D264" t="s">
        <v>519</v>
      </c>
      <c r="E264" t="s">
        <v>16</v>
      </c>
      <c r="F264">
        <v>29</v>
      </c>
      <c r="G264">
        <v>0</v>
      </c>
      <c r="H264">
        <v>2</v>
      </c>
      <c r="I264" t="s">
        <v>191</v>
      </c>
      <c r="J264" s="9">
        <v>23</v>
      </c>
      <c r="K264" t="s">
        <v>18</v>
      </c>
      <c r="L264">
        <v>1</v>
      </c>
    </row>
    <row r="265" spans="1:12" x14ac:dyDescent="0.25">
      <c r="A265">
        <v>1155</v>
      </c>
      <c r="B265">
        <v>1</v>
      </c>
      <c r="C265">
        <v>3</v>
      </c>
      <c r="D265" t="s">
        <v>520</v>
      </c>
      <c r="E265" t="s">
        <v>16</v>
      </c>
      <c r="F265">
        <v>1</v>
      </c>
      <c r="G265">
        <v>1</v>
      </c>
      <c r="H265">
        <v>1</v>
      </c>
      <c r="I265" t="s">
        <v>315</v>
      </c>
      <c r="J265" s="9">
        <v>121833</v>
      </c>
      <c r="K265" t="s">
        <v>18</v>
      </c>
      <c r="L265">
        <v>1</v>
      </c>
    </row>
    <row r="266" spans="1:12" x14ac:dyDescent="0.25">
      <c r="A266">
        <v>1156</v>
      </c>
      <c r="B266">
        <v>0</v>
      </c>
      <c r="C266">
        <v>2</v>
      </c>
      <c r="D266" t="s">
        <v>521</v>
      </c>
      <c r="E266" t="s">
        <v>12</v>
      </c>
      <c r="F266">
        <v>30</v>
      </c>
      <c r="G266">
        <v>0</v>
      </c>
      <c r="H266">
        <v>0</v>
      </c>
      <c r="I266" t="s">
        <v>522</v>
      </c>
      <c r="J266" s="9">
        <v>127375</v>
      </c>
      <c r="K266" t="s">
        <v>33</v>
      </c>
      <c r="L266">
        <v>1</v>
      </c>
    </row>
    <row r="267" spans="1:12" x14ac:dyDescent="0.25">
      <c r="A267">
        <v>1157</v>
      </c>
      <c r="B267">
        <v>0</v>
      </c>
      <c r="C267">
        <v>3</v>
      </c>
      <c r="D267" t="s">
        <v>523</v>
      </c>
      <c r="E267" t="s">
        <v>12</v>
      </c>
      <c r="F267">
        <v>31</v>
      </c>
      <c r="G267">
        <v>0</v>
      </c>
      <c r="H267">
        <v>0</v>
      </c>
      <c r="I267" t="s">
        <v>524</v>
      </c>
      <c r="J267" s="9">
        <v>78958</v>
      </c>
      <c r="K267" t="s">
        <v>18</v>
      </c>
      <c r="L267">
        <v>1</v>
      </c>
    </row>
    <row r="268" spans="1:12" x14ac:dyDescent="0.25">
      <c r="A268">
        <v>1158</v>
      </c>
      <c r="B268">
        <v>0</v>
      </c>
      <c r="C268">
        <v>1</v>
      </c>
      <c r="D268" t="s">
        <v>525</v>
      </c>
      <c r="E268" t="s">
        <v>12</v>
      </c>
      <c r="F268">
        <v>43</v>
      </c>
      <c r="G268">
        <v>0</v>
      </c>
      <c r="H268">
        <v>0</v>
      </c>
      <c r="I268" t="s">
        <v>526</v>
      </c>
      <c r="J268" s="9">
        <v>0</v>
      </c>
      <c r="K268" t="s">
        <v>18</v>
      </c>
      <c r="L268">
        <v>1</v>
      </c>
    </row>
    <row r="269" spans="1:12" x14ac:dyDescent="0.25">
      <c r="A269">
        <v>1159</v>
      </c>
      <c r="B269">
        <v>0</v>
      </c>
      <c r="C269">
        <v>3</v>
      </c>
      <c r="D269" t="s">
        <v>527</v>
      </c>
      <c r="E269" t="s">
        <v>12</v>
      </c>
      <c r="F269">
        <v>35</v>
      </c>
      <c r="G269">
        <v>0</v>
      </c>
      <c r="H269">
        <v>0</v>
      </c>
      <c r="I269" t="s">
        <v>528</v>
      </c>
      <c r="J269" s="9">
        <v>7.55</v>
      </c>
      <c r="K269" t="s">
        <v>18</v>
      </c>
      <c r="L269">
        <v>1</v>
      </c>
    </row>
    <row r="270" spans="1:12" x14ac:dyDescent="0.25">
      <c r="A270">
        <v>1160</v>
      </c>
      <c r="B270">
        <v>1</v>
      </c>
      <c r="C270">
        <v>3</v>
      </c>
      <c r="D270" t="s">
        <v>529</v>
      </c>
      <c r="E270" t="s">
        <v>16</v>
      </c>
      <c r="F270">
        <v>40</v>
      </c>
      <c r="G270">
        <v>0</v>
      </c>
      <c r="H270">
        <v>0</v>
      </c>
      <c r="I270" t="s">
        <v>530</v>
      </c>
      <c r="J270" s="9">
        <v>8.0500000000000007</v>
      </c>
      <c r="K270" t="s">
        <v>18</v>
      </c>
      <c r="L270">
        <v>1</v>
      </c>
    </row>
    <row r="271" spans="1:12" x14ac:dyDescent="0.25">
      <c r="A271">
        <v>1161</v>
      </c>
      <c r="B271">
        <v>0</v>
      </c>
      <c r="C271">
        <v>3</v>
      </c>
      <c r="D271" t="s">
        <v>531</v>
      </c>
      <c r="E271" t="s">
        <v>12</v>
      </c>
      <c r="F271">
        <v>17</v>
      </c>
      <c r="G271">
        <v>0</v>
      </c>
      <c r="H271">
        <v>0</v>
      </c>
      <c r="I271" t="s">
        <v>532</v>
      </c>
      <c r="J271" s="9">
        <v>86625</v>
      </c>
      <c r="K271" t="s">
        <v>18</v>
      </c>
      <c r="L271">
        <v>1</v>
      </c>
    </row>
    <row r="272" spans="1:12" x14ac:dyDescent="0.25">
      <c r="A272">
        <v>1162</v>
      </c>
      <c r="B272">
        <v>0</v>
      </c>
      <c r="C272">
        <v>1</v>
      </c>
      <c r="D272" t="s">
        <v>533</v>
      </c>
      <c r="E272" t="s">
        <v>12</v>
      </c>
      <c r="F272">
        <v>46</v>
      </c>
      <c r="G272">
        <v>0</v>
      </c>
      <c r="H272">
        <v>0</v>
      </c>
      <c r="I272" t="s">
        <v>248</v>
      </c>
      <c r="J272" s="9">
        <v>22</v>
      </c>
      <c r="K272" t="s">
        <v>33</v>
      </c>
      <c r="L272">
        <v>1</v>
      </c>
    </row>
    <row r="273" spans="1:12" x14ac:dyDescent="0.25">
      <c r="A273">
        <v>1163</v>
      </c>
      <c r="B273">
        <v>0</v>
      </c>
      <c r="C273">
        <v>3</v>
      </c>
      <c r="D273" t="s">
        <v>534</v>
      </c>
      <c r="E273" t="s">
        <v>12</v>
      </c>
      <c r="F273">
        <v>28</v>
      </c>
      <c r="G273">
        <v>0</v>
      </c>
      <c r="H273">
        <v>0</v>
      </c>
      <c r="I273" t="s">
        <v>535</v>
      </c>
      <c r="J273" s="9">
        <v>7.75</v>
      </c>
      <c r="K273" t="s">
        <v>14</v>
      </c>
      <c r="L273">
        <v>1</v>
      </c>
    </row>
    <row r="274" spans="1:12" x14ac:dyDescent="0.25">
      <c r="A274">
        <v>1164</v>
      </c>
      <c r="B274">
        <v>1</v>
      </c>
      <c r="C274">
        <v>1</v>
      </c>
      <c r="D274" t="s">
        <v>536</v>
      </c>
      <c r="E274" t="s">
        <v>16</v>
      </c>
      <c r="F274">
        <v>26</v>
      </c>
      <c r="G274">
        <v>1</v>
      </c>
      <c r="H274">
        <v>0</v>
      </c>
      <c r="I274" t="s">
        <v>500</v>
      </c>
      <c r="J274" s="9">
        <v>22</v>
      </c>
      <c r="K274" t="s">
        <v>33</v>
      </c>
      <c r="L274">
        <v>1</v>
      </c>
    </row>
    <row r="275" spans="1:12" x14ac:dyDescent="0.25">
      <c r="A275">
        <v>1165</v>
      </c>
      <c r="B275">
        <v>1</v>
      </c>
      <c r="C275">
        <v>3</v>
      </c>
      <c r="D275" t="s">
        <v>537</v>
      </c>
      <c r="E275" t="s">
        <v>16</v>
      </c>
      <c r="F275">
        <v>44</v>
      </c>
      <c r="G275">
        <v>1</v>
      </c>
      <c r="H275">
        <v>0</v>
      </c>
      <c r="I275" t="s">
        <v>538</v>
      </c>
      <c r="J275" s="9">
        <v>15.5</v>
      </c>
      <c r="K275" t="s">
        <v>14</v>
      </c>
      <c r="L275">
        <v>1</v>
      </c>
    </row>
    <row r="276" spans="1:12" x14ac:dyDescent="0.25">
      <c r="A276">
        <v>1166</v>
      </c>
      <c r="B276">
        <v>0</v>
      </c>
      <c r="C276">
        <v>3</v>
      </c>
      <c r="D276" t="s">
        <v>539</v>
      </c>
      <c r="E276" t="s">
        <v>12</v>
      </c>
      <c r="F276">
        <v>22</v>
      </c>
      <c r="G276">
        <v>0</v>
      </c>
      <c r="H276">
        <v>0</v>
      </c>
      <c r="I276" t="s">
        <v>540</v>
      </c>
      <c r="J276" s="9">
        <v>7225</v>
      </c>
      <c r="K276" t="s">
        <v>33</v>
      </c>
      <c r="L276">
        <v>1</v>
      </c>
    </row>
    <row r="277" spans="1:12" x14ac:dyDescent="0.25">
      <c r="A277">
        <v>1167</v>
      </c>
      <c r="B277">
        <v>1</v>
      </c>
      <c r="C277">
        <v>2</v>
      </c>
      <c r="D277" t="s">
        <v>541</v>
      </c>
      <c r="E277" t="s">
        <v>16</v>
      </c>
      <c r="F277">
        <v>20</v>
      </c>
      <c r="G277">
        <v>1</v>
      </c>
      <c r="H277">
        <v>0</v>
      </c>
      <c r="I277" t="s">
        <v>542</v>
      </c>
      <c r="J277" s="9">
        <v>26</v>
      </c>
      <c r="K277" t="s">
        <v>18</v>
      </c>
      <c r="L277">
        <v>1</v>
      </c>
    </row>
    <row r="278" spans="1:12" x14ac:dyDescent="0.25">
      <c r="A278">
        <v>1168</v>
      </c>
      <c r="B278">
        <v>0</v>
      </c>
      <c r="C278">
        <v>2</v>
      </c>
      <c r="D278" t="s">
        <v>543</v>
      </c>
      <c r="E278" t="s">
        <v>12</v>
      </c>
      <c r="F278">
        <v>28</v>
      </c>
      <c r="G278">
        <v>0</v>
      </c>
      <c r="H278">
        <v>0</v>
      </c>
      <c r="I278" t="s">
        <v>544</v>
      </c>
      <c r="J278" s="9">
        <v>10.5</v>
      </c>
      <c r="K278" t="s">
        <v>18</v>
      </c>
      <c r="L278">
        <v>1</v>
      </c>
    </row>
    <row r="279" spans="1:12" x14ac:dyDescent="0.25">
      <c r="A279">
        <v>1169</v>
      </c>
      <c r="B279">
        <v>0</v>
      </c>
      <c r="C279">
        <v>2</v>
      </c>
      <c r="D279" t="s">
        <v>545</v>
      </c>
      <c r="E279" t="s">
        <v>12</v>
      </c>
      <c r="F279">
        <v>40</v>
      </c>
      <c r="G279">
        <v>1</v>
      </c>
      <c r="H279">
        <v>0</v>
      </c>
      <c r="I279" t="s">
        <v>546</v>
      </c>
      <c r="J279" s="9">
        <v>26</v>
      </c>
      <c r="K279" t="s">
        <v>18</v>
      </c>
      <c r="L279">
        <v>1</v>
      </c>
    </row>
    <row r="280" spans="1:12" x14ac:dyDescent="0.25">
      <c r="A280">
        <v>1170</v>
      </c>
      <c r="B280">
        <v>0</v>
      </c>
      <c r="C280">
        <v>2</v>
      </c>
      <c r="D280" t="s">
        <v>547</v>
      </c>
      <c r="E280" t="s">
        <v>12</v>
      </c>
      <c r="F280">
        <v>30</v>
      </c>
      <c r="G280">
        <v>1</v>
      </c>
      <c r="H280">
        <v>0</v>
      </c>
      <c r="I280" t="s">
        <v>548</v>
      </c>
      <c r="J280" s="9">
        <v>21</v>
      </c>
      <c r="K280" t="s">
        <v>18</v>
      </c>
      <c r="L280">
        <v>1</v>
      </c>
    </row>
    <row r="281" spans="1:12" x14ac:dyDescent="0.25">
      <c r="A281">
        <v>1171</v>
      </c>
      <c r="B281">
        <v>0</v>
      </c>
      <c r="C281">
        <v>2</v>
      </c>
      <c r="D281" t="s">
        <v>549</v>
      </c>
      <c r="E281" t="s">
        <v>12</v>
      </c>
      <c r="F281">
        <v>22</v>
      </c>
      <c r="G281">
        <v>0</v>
      </c>
      <c r="H281">
        <v>0</v>
      </c>
      <c r="I281" t="s">
        <v>550</v>
      </c>
      <c r="J281" s="9">
        <v>10.5</v>
      </c>
      <c r="K281" t="s">
        <v>18</v>
      </c>
      <c r="L281">
        <v>1</v>
      </c>
    </row>
    <row r="282" spans="1:12" x14ac:dyDescent="0.25">
      <c r="A282">
        <v>1172</v>
      </c>
      <c r="B282">
        <v>1</v>
      </c>
      <c r="C282">
        <v>3</v>
      </c>
      <c r="D282" t="s">
        <v>551</v>
      </c>
      <c r="E282" t="s">
        <v>16</v>
      </c>
      <c r="F282">
        <v>23</v>
      </c>
      <c r="G282">
        <v>0</v>
      </c>
      <c r="H282">
        <v>0</v>
      </c>
      <c r="I282" t="s">
        <v>552</v>
      </c>
      <c r="J282" s="9">
        <v>86625</v>
      </c>
      <c r="K282" t="s">
        <v>18</v>
      </c>
      <c r="L282">
        <v>1</v>
      </c>
    </row>
    <row r="283" spans="1:12" x14ac:dyDescent="0.25">
      <c r="A283">
        <v>1173</v>
      </c>
      <c r="B283">
        <v>0</v>
      </c>
      <c r="C283">
        <v>3</v>
      </c>
      <c r="D283" t="s">
        <v>553</v>
      </c>
      <c r="E283" t="s">
        <v>12</v>
      </c>
      <c r="F283">
        <v>0.75</v>
      </c>
      <c r="G283">
        <v>1</v>
      </c>
      <c r="H283">
        <v>1</v>
      </c>
      <c r="I283" t="s">
        <v>326</v>
      </c>
      <c r="J283" s="9">
        <v>13775</v>
      </c>
      <c r="K283" t="s">
        <v>18</v>
      </c>
      <c r="L283">
        <v>1</v>
      </c>
    </row>
    <row r="284" spans="1:12" x14ac:dyDescent="0.25">
      <c r="A284">
        <v>1174</v>
      </c>
      <c r="B284">
        <v>1</v>
      </c>
      <c r="C284">
        <v>3</v>
      </c>
      <c r="D284" t="s">
        <v>554</v>
      </c>
      <c r="E284" t="s">
        <v>16</v>
      </c>
      <c r="F284">
        <v>38</v>
      </c>
      <c r="G284">
        <v>0</v>
      </c>
      <c r="H284">
        <v>0</v>
      </c>
      <c r="I284" t="s">
        <v>555</v>
      </c>
      <c r="J284" s="9">
        <v>7.75</v>
      </c>
      <c r="K284" t="s">
        <v>14</v>
      </c>
      <c r="L284">
        <v>1</v>
      </c>
    </row>
    <row r="285" spans="1:12" x14ac:dyDescent="0.25">
      <c r="A285">
        <v>1175</v>
      </c>
      <c r="B285">
        <v>1</v>
      </c>
      <c r="C285">
        <v>3</v>
      </c>
      <c r="D285" t="s">
        <v>556</v>
      </c>
      <c r="E285" t="s">
        <v>16</v>
      </c>
      <c r="F285">
        <v>9</v>
      </c>
      <c r="G285">
        <v>1</v>
      </c>
      <c r="H285">
        <v>1</v>
      </c>
      <c r="I285" t="s">
        <v>330</v>
      </c>
      <c r="J285" s="9">
        <v>152458</v>
      </c>
      <c r="K285" t="s">
        <v>33</v>
      </c>
      <c r="L285">
        <v>1</v>
      </c>
    </row>
    <row r="286" spans="1:12" x14ac:dyDescent="0.25">
      <c r="A286">
        <v>1176</v>
      </c>
      <c r="B286">
        <v>1</v>
      </c>
      <c r="C286">
        <v>3</v>
      </c>
      <c r="D286" t="s">
        <v>557</v>
      </c>
      <c r="E286" t="s">
        <v>16</v>
      </c>
      <c r="F286">
        <v>2</v>
      </c>
      <c r="G286">
        <v>1</v>
      </c>
      <c r="H286">
        <v>1</v>
      </c>
      <c r="I286" t="s">
        <v>558</v>
      </c>
      <c r="J286" s="9">
        <v>202125</v>
      </c>
      <c r="K286" t="s">
        <v>18</v>
      </c>
      <c r="L286">
        <v>1</v>
      </c>
    </row>
    <row r="287" spans="1:12" x14ac:dyDescent="0.25">
      <c r="A287">
        <v>1177</v>
      </c>
      <c r="B287">
        <v>0</v>
      </c>
      <c r="C287">
        <v>3</v>
      </c>
      <c r="D287" t="s">
        <v>559</v>
      </c>
      <c r="E287" t="s">
        <v>12</v>
      </c>
      <c r="F287">
        <v>36</v>
      </c>
      <c r="G287">
        <v>0</v>
      </c>
      <c r="H287">
        <v>0</v>
      </c>
      <c r="I287" t="s">
        <v>560</v>
      </c>
      <c r="J287" s="9">
        <v>7.25</v>
      </c>
      <c r="K287" t="s">
        <v>18</v>
      </c>
      <c r="L287">
        <v>1</v>
      </c>
    </row>
    <row r="288" spans="1:12" x14ac:dyDescent="0.25">
      <c r="A288">
        <v>1178</v>
      </c>
      <c r="B288">
        <v>0</v>
      </c>
      <c r="C288">
        <v>3</v>
      </c>
      <c r="D288" t="s">
        <v>561</v>
      </c>
      <c r="E288" t="s">
        <v>12</v>
      </c>
      <c r="F288">
        <v>46</v>
      </c>
      <c r="G288">
        <v>0</v>
      </c>
      <c r="H288">
        <v>0</v>
      </c>
      <c r="I288" t="s">
        <v>562</v>
      </c>
      <c r="J288" s="9">
        <v>7.25</v>
      </c>
      <c r="K288" t="s">
        <v>18</v>
      </c>
      <c r="L288">
        <v>1</v>
      </c>
    </row>
    <row r="289" spans="1:12" x14ac:dyDescent="0.25">
      <c r="A289">
        <v>1179</v>
      </c>
      <c r="B289">
        <v>0</v>
      </c>
      <c r="C289">
        <v>1</v>
      </c>
      <c r="D289" t="s">
        <v>563</v>
      </c>
      <c r="E289" t="s">
        <v>12</v>
      </c>
      <c r="F289">
        <v>24</v>
      </c>
      <c r="G289">
        <v>1</v>
      </c>
      <c r="H289">
        <v>0</v>
      </c>
      <c r="I289" t="s">
        <v>41</v>
      </c>
      <c r="J289" s="9">
        <v>23</v>
      </c>
      <c r="K289" t="s">
        <v>18</v>
      </c>
      <c r="L289">
        <v>1</v>
      </c>
    </row>
    <row r="290" spans="1:12" x14ac:dyDescent="0.25">
      <c r="A290">
        <v>1180</v>
      </c>
      <c r="B290">
        <v>0</v>
      </c>
      <c r="C290">
        <v>3</v>
      </c>
      <c r="D290" t="s">
        <v>564</v>
      </c>
      <c r="E290" t="s">
        <v>12</v>
      </c>
      <c r="F290">
        <v>32</v>
      </c>
      <c r="G290">
        <v>0</v>
      </c>
      <c r="H290">
        <v>0</v>
      </c>
      <c r="I290" t="s">
        <v>565</v>
      </c>
      <c r="J290" s="9">
        <v>72292</v>
      </c>
      <c r="K290" t="s">
        <v>33</v>
      </c>
      <c r="L290">
        <v>1</v>
      </c>
    </row>
    <row r="291" spans="1:12" x14ac:dyDescent="0.25">
      <c r="A291">
        <v>1181</v>
      </c>
      <c r="B291">
        <v>0</v>
      </c>
      <c r="C291">
        <v>3</v>
      </c>
      <c r="D291" t="s">
        <v>566</v>
      </c>
      <c r="E291" t="s">
        <v>12</v>
      </c>
      <c r="F291">
        <v>39</v>
      </c>
      <c r="G291">
        <v>0</v>
      </c>
      <c r="H291">
        <v>0</v>
      </c>
      <c r="I291" t="s">
        <v>567</v>
      </c>
      <c r="J291" s="9">
        <v>8.0500000000000007</v>
      </c>
      <c r="K291" t="s">
        <v>18</v>
      </c>
      <c r="L291">
        <v>1</v>
      </c>
    </row>
    <row r="292" spans="1:12" x14ac:dyDescent="0.25">
      <c r="A292">
        <v>1182</v>
      </c>
      <c r="B292">
        <v>0</v>
      </c>
      <c r="C292">
        <v>1</v>
      </c>
      <c r="D292" t="s">
        <v>568</v>
      </c>
      <c r="E292" t="s">
        <v>12</v>
      </c>
      <c r="F292">
        <v>42</v>
      </c>
      <c r="G292">
        <v>0</v>
      </c>
      <c r="H292">
        <v>0</v>
      </c>
      <c r="I292" t="s">
        <v>569</v>
      </c>
      <c r="J292" s="9">
        <v>39.6</v>
      </c>
      <c r="K292" t="s">
        <v>18</v>
      </c>
      <c r="L292">
        <v>1</v>
      </c>
    </row>
    <row r="293" spans="1:12" x14ac:dyDescent="0.25">
      <c r="A293">
        <v>1183</v>
      </c>
      <c r="B293">
        <v>1</v>
      </c>
      <c r="C293">
        <v>3</v>
      </c>
      <c r="D293" t="s">
        <v>570</v>
      </c>
      <c r="E293" t="s">
        <v>16</v>
      </c>
      <c r="F293">
        <v>30</v>
      </c>
      <c r="G293">
        <v>0</v>
      </c>
      <c r="H293">
        <v>0</v>
      </c>
      <c r="I293" t="s">
        <v>571</v>
      </c>
      <c r="J293" s="9">
        <v>6.95</v>
      </c>
      <c r="K293" t="s">
        <v>14</v>
      </c>
      <c r="L293">
        <v>1</v>
      </c>
    </row>
    <row r="294" spans="1:12" x14ac:dyDescent="0.25">
      <c r="A294">
        <v>1184</v>
      </c>
      <c r="B294">
        <v>0</v>
      </c>
      <c r="C294">
        <v>3</v>
      </c>
      <c r="D294" t="s">
        <v>572</v>
      </c>
      <c r="E294" t="s">
        <v>12</v>
      </c>
      <c r="F294">
        <v>50</v>
      </c>
      <c r="G294">
        <v>0</v>
      </c>
      <c r="H294">
        <v>0</v>
      </c>
      <c r="I294" t="s">
        <v>573</v>
      </c>
      <c r="J294" s="9">
        <v>72292</v>
      </c>
      <c r="K294" t="s">
        <v>33</v>
      </c>
      <c r="L294">
        <v>1</v>
      </c>
    </row>
    <row r="295" spans="1:12" x14ac:dyDescent="0.25">
      <c r="A295">
        <v>1185</v>
      </c>
      <c r="B295">
        <v>0</v>
      </c>
      <c r="C295">
        <v>1</v>
      </c>
      <c r="D295" t="s">
        <v>574</v>
      </c>
      <c r="E295" t="s">
        <v>12</v>
      </c>
      <c r="F295">
        <v>53</v>
      </c>
      <c r="G295">
        <v>1</v>
      </c>
      <c r="H295">
        <v>1</v>
      </c>
      <c r="I295" t="s">
        <v>575</v>
      </c>
      <c r="J295" s="9">
        <v>25</v>
      </c>
      <c r="K295" t="s">
        <v>18</v>
      </c>
      <c r="L295">
        <v>1</v>
      </c>
    </row>
    <row r="296" spans="1:12" x14ac:dyDescent="0.25">
      <c r="A296">
        <v>1186</v>
      </c>
      <c r="B296">
        <v>0</v>
      </c>
      <c r="C296">
        <v>3</v>
      </c>
      <c r="D296" t="s">
        <v>576</v>
      </c>
      <c r="E296" t="s">
        <v>12</v>
      </c>
      <c r="F296">
        <v>36</v>
      </c>
      <c r="G296">
        <v>0</v>
      </c>
      <c r="H296">
        <v>0</v>
      </c>
      <c r="I296" t="s">
        <v>577</v>
      </c>
      <c r="J296" s="9">
        <v>9.5</v>
      </c>
      <c r="K296" t="s">
        <v>18</v>
      </c>
      <c r="L296">
        <v>1</v>
      </c>
    </row>
    <row r="297" spans="1:12" x14ac:dyDescent="0.25">
      <c r="A297">
        <v>1187</v>
      </c>
      <c r="B297">
        <v>0</v>
      </c>
      <c r="C297">
        <v>3</v>
      </c>
      <c r="D297" t="s">
        <v>578</v>
      </c>
      <c r="E297" t="s">
        <v>12</v>
      </c>
      <c r="F297">
        <v>26</v>
      </c>
      <c r="G297">
        <v>0</v>
      </c>
      <c r="H297">
        <v>0</v>
      </c>
      <c r="I297" t="s">
        <v>579</v>
      </c>
      <c r="J297" s="9">
        <v>78958</v>
      </c>
      <c r="K297" t="s">
        <v>18</v>
      </c>
      <c r="L297">
        <v>1</v>
      </c>
    </row>
    <row r="298" spans="1:12" x14ac:dyDescent="0.25">
      <c r="A298">
        <v>1188</v>
      </c>
      <c r="B298">
        <v>1</v>
      </c>
      <c r="C298">
        <v>2</v>
      </c>
      <c r="D298" t="s">
        <v>580</v>
      </c>
      <c r="E298" t="s">
        <v>16</v>
      </c>
      <c r="F298">
        <v>1</v>
      </c>
      <c r="G298">
        <v>1</v>
      </c>
      <c r="H298">
        <v>2</v>
      </c>
      <c r="I298" t="s">
        <v>581</v>
      </c>
      <c r="J298" s="9">
        <v>415792</v>
      </c>
      <c r="K298" t="s">
        <v>33</v>
      </c>
      <c r="L298">
        <v>1</v>
      </c>
    </row>
    <row r="299" spans="1:12" x14ac:dyDescent="0.25">
      <c r="A299">
        <v>1189</v>
      </c>
      <c r="B299">
        <v>0</v>
      </c>
      <c r="C299">
        <v>3</v>
      </c>
      <c r="D299" t="s">
        <v>582</v>
      </c>
      <c r="E299" t="s">
        <v>12</v>
      </c>
      <c r="F299">
        <v>25</v>
      </c>
      <c r="G299">
        <v>2</v>
      </c>
      <c r="H299">
        <v>0</v>
      </c>
      <c r="I299" t="s">
        <v>75</v>
      </c>
      <c r="J299" s="9">
        <v>216792</v>
      </c>
      <c r="K299" t="s">
        <v>33</v>
      </c>
      <c r="L299">
        <v>1</v>
      </c>
    </row>
    <row r="300" spans="1:12" x14ac:dyDescent="0.25">
      <c r="A300">
        <v>1190</v>
      </c>
      <c r="B300">
        <v>0</v>
      </c>
      <c r="C300">
        <v>1</v>
      </c>
      <c r="D300" t="s">
        <v>583</v>
      </c>
      <c r="E300" t="s">
        <v>12</v>
      </c>
      <c r="F300">
        <v>30</v>
      </c>
      <c r="G300">
        <v>0</v>
      </c>
      <c r="H300">
        <v>0</v>
      </c>
      <c r="I300" t="s">
        <v>584</v>
      </c>
      <c r="J300" s="9">
        <v>45.5</v>
      </c>
      <c r="K300" t="s">
        <v>18</v>
      </c>
      <c r="L300">
        <v>1</v>
      </c>
    </row>
    <row r="301" spans="1:12" x14ac:dyDescent="0.25">
      <c r="A301">
        <v>1191</v>
      </c>
      <c r="B301">
        <v>0</v>
      </c>
      <c r="C301">
        <v>3</v>
      </c>
      <c r="D301" t="s">
        <v>585</v>
      </c>
      <c r="E301" t="s">
        <v>12</v>
      </c>
      <c r="F301">
        <v>29</v>
      </c>
      <c r="G301">
        <v>0</v>
      </c>
      <c r="H301">
        <v>0</v>
      </c>
      <c r="I301" t="s">
        <v>586</v>
      </c>
      <c r="J301" s="9">
        <v>78542</v>
      </c>
      <c r="K301" t="s">
        <v>18</v>
      </c>
      <c r="L301">
        <v>1</v>
      </c>
    </row>
    <row r="302" spans="1:12" x14ac:dyDescent="0.25">
      <c r="A302">
        <v>1192</v>
      </c>
      <c r="B302">
        <v>0</v>
      </c>
      <c r="C302">
        <v>3</v>
      </c>
      <c r="D302" t="s">
        <v>587</v>
      </c>
      <c r="E302" t="s">
        <v>12</v>
      </c>
      <c r="F302">
        <v>32</v>
      </c>
      <c r="G302">
        <v>0</v>
      </c>
      <c r="H302">
        <v>0</v>
      </c>
      <c r="I302" t="s">
        <v>588</v>
      </c>
      <c r="J302" s="9">
        <v>7775</v>
      </c>
      <c r="K302" t="s">
        <v>18</v>
      </c>
      <c r="L302">
        <v>1</v>
      </c>
    </row>
    <row r="303" spans="1:12" x14ac:dyDescent="0.25">
      <c r="A303">
        <v>1193</v>
      </c>
      <c r="B303">
        <v>0</v>
      </c>
      <c r="C303">
        <v>2</v>
      </c>
      <c r="D303" t="s">
        <v>589</v>
      </c>
      <c r="E303" t="s">
        <v>12</v>
      </c>
      <c r="F303">
        <v>23</v>
      </c>
      <c r="G303">
        <v>0</v>
      </c>
      <c r="H303">
        <v>0</v>
      </c>
      <c r="I303" t="s">
        <v>590</v>
      </c>
      <c r="J303" s="9">
        <v>150458</v>
      </c>
      <c r="K303" t="s">
        <v>33</v>
      </c>
      <c r="L303">
        <v>1</v>
      </c>
    </row>
    <row r="304" spans="1:12" x14ac:dyDescent="0.25">
      <c r="A304">
        <v>1194</v>
      </c>
      <c r="B304">
        <v>0</v>
      </c>
      <c r="C304">
        <v>2</v>
      </c>
      <c r="D304" t="s">
        <v>591</v>
      </c>
      <c r="E304" t="s">
        <v>12</v>
      </c>
      <c r="F304">
        <v>43</v>
      </c>
      <c r="G304">
        <v>0</v>
      </c>
      <c r="H304">
        <v>1</v>
      </c>
      <c r="I304" t="s">
        <v>376</v>
      </c>
      <c r="J304" s="9">
        <v>21</v>
      </c>
      <c r="K304" t="s">
        <v>18</v>
      </c>
      <c r="L304">
        <v>1</v>
      </c>
    </row>
    <row r="305" spans="1:12" x14ac:dyDescent="0.25">
      <c r="A305">
        <v>1195</v>
      </c>
      <c r="B305">
        <v>0</v>
      </c>
      <c r="C305">
        <v>3</v>
      </c>
      <c r="D305" t="s">
        <v>592</v>
      </c>
      <c r="E305" t="s">
        <v>12</v>
      </c>
      <c r="F305">
        <v>24</v>
      </c>
      <c r="G305">
        <v>0</v>
      </c>
      <c r="H305">
        <v>0</v>
      </c>
      <c r="I305" t="s">
        <v>593</v>
      </c>
      <c r="J305" s="9">
        <v>86625</v>
      </c>
      <c r="K305" t="s">
        <v>18</v>
      </c>
      <c r="L305">
        <v>1</v>
      </c>
    </row>
    <row r="306" spans="1:12" x14ac:dyDescent="0.25">
      <c r="A306">
        <v>1196</v>
      </c>
      <c r="B306">
        <v>1</v>
      </c>
      <c r="C306">
        <v>3</v>
      </c>
      <c r="D306" t="s">
        <v>594</v>
      </c>
      <c r="E306" t="s">
        <v>16</v>
      </c>
      <c r="F306">
        <v>38</v>
      </c>
      <c r="G306">
        <v>0</v>
      </c>
      <c r="H306">
        <v>0</v>
      </c>
      <c r="I306" t="s">
        <v>595</v>
      </c>
      <c r="J306" s="9">
        <v>7.75</v>
      </c>
      <c r="K306" t="s">
        <v>14</v>
      </c>
      <c r="L306">
        <v>1</v>
      </c>
    </row>
    <row r="307" spans="1:12" x14ac:dyDescent="0.25">
      <c r="A307">
        <v>1197</v>
      </c>
      <c r="B307">
        <v>1</v>
      </c>
      <c r="C307">
        <v>1</v>
      </c>
      <c r="D307" t="s">
        <v>596</v>
      </c>
      <c r="E307" t="s">
        <v>16</v>
      </c>
      <c r="F307">
        <v>64</v>
      </c>
      <c r="G307">
        <v>1</v>
      </c>
      <c r="H307">
        <v>1</v>
      </c>
      <c r="I307" t="s">
        <v>597</v>
      </c>
      <c r="J307" s="9">
        <v>26.55</v>
      </c>
      <c r="K307" t="s">
        <v>18</v>
      </c>
      <c r="L307">
        <v>1</v>
      </c>
    </row>
    <row r="308" spans="1:12" x14ac:dyDescent="0.25">
      <c r="A308">
        <v>1198</v>
      </c>
      <c r="B308">
        <v>0</v>
      </c>
      <c r="C308">
        <v>1</v>
      </c>
      <c r="D308" t="s">
        <v>598</v>
      </c>
      <c r="E308" t="s">
        <v>12</v>
      </c>
      <c r="F308">
        <v>30</v>
      </c>
      <c r="G308">
        <v>1</v>
      </c>
      <c r="H308">
        <v>2</v>
      </c>
      <c r="I308" t="s">
        <v>292</v>
      </c>
      <c r="J308" s="9">
        <v>151.55000000000001</v>
      </c>
      <c r="K308" t="s">
        <v>18</v>
      </c>
      <c r="L308">
        <v>1</v>
      </c>
    </row>
    <row r="309" spans="1:12" x14ac:dyDescent="0.25">
      <c r="A309">
        <v>1199</v>
      </c>
      <c r="B309">
        <v>0</v>
      </c>
      <c r="C309">
        <v>3</v>
      </c>
      <c r="D309" t="s">
        <v>599</v>
      </c>
      <c r="E309" t="s">
        <v>12</v>
      </c>
      <c r="F309">
        <v>0.83</v>
      </c>
      <c r="G309">
        <v>0</v>
      </c>
      <c r="H309">
        <v>1</v>
      </c>
      <c r="I309" t="s">
        <v>600</v>
      </c>
      <c r="J309" s="9">
        <v>9.35</v>
      </c>
      <c r="K309" t="s">
        <v>18</v>
      </c>
      <c r="L309">
        <v>1</v>
      </c>
    </row>
    <row r="310" spans="1:12" x14ac:dyDescent="0.25">
      <c r="A310">
        <v>1200</v>
      </c>
      <c r="B310">
        <v>0</v>
      </c>
      <c r="C310">
        <v>1</v>
      </c>
      <c r="D310" t="s">
        <v>601</v>
      </c>
      <c r="E310" t="s">
        <v>12</v>
      </c>
      <c r="F310">
        <v>55</v>
      </c>
      <c r="G310">
        <v>1</v>
      </c>
      <c r="H310">
        <v>1</v>
      </c>
      <c r="I310" t="s">
        <v>602</v>
      </c>
      <c r="J310" s="9">
        <v>93.5</v>
      </c>
      <c r="K310" t="s">
        <v>18</v>
      </c>
      <c r="L310">
        <v>1</v>
      </c>
    </row>
    <row r="311" spans="1:12" x14ac:dyDescent="0.25">
      <c r="A311">
        <v>1201</v>
      </c>
      <c r="B311">
        <v>1</v>
      </c>
      <c r="C311">
        <v>3</v>
      </c>
      <c r="D311" t="s">
        <v>603</v>
      </c>
      <c r="E311" t="s">
        <v>16</v>
      </c>
      <c r="F311">
        <v>45</v>
      </c>
      <c r="G311">
        <v>1</v>
      </c>
      <c r="H311">
        <v>0</v>
      </c>
      <c r="I311" t="s">
        <v>604</v>
      </c>
      <c r="J311" s="9">
        <v>141083</v>
      </c>
      <c r="K311" t="s">
        <v>18</v>
      </c>
      <c r="L311">
        <v>1</v>
      </c>
    </row>
    <row r="312" spans="1:12" x14ac:dyDescent="0.25">
      <c r="A312">
        <v>1202</v>
      </c>
      <c r="B312">
        <v>0</v>
      </c>
      <c r="C312">
        <v>3</v>
      </c>
      <c r="D312" t="s">
        <v>605</v>
      </c>
      <c r="E312" t="s">
        <v>12</v>
      </c>
      <c r="F312">
        <v>18</v>
      </c>
      <c r="G312">
        <v>0</v>
      </c>
      <c r="H312">
        <v>0</v>
      </c>
      <c r="I312" t="s">
        <v>606</v>
      </c>
      <c r="J312" s="9">
        <v>86625</v>
      </c>
      <c r="K312" t="s">
        <v>18</v>
      </c>
      <c r="L312">
        <v>1</v>
      </c>
    </row>
    <row r="313" spans="1:12" x14ac:dyDescent="0.25">
      <c r="A313">
        <v>1203</v>
      </c>
      <c r="B313">
        <v>0</v>
      </c>
      <c r="C313">
        <v>3</v>
      </c>
      <c r="D313" t="s">
        <v>607</v>
      </c>
      <c r="E313" t="s">
        <v>12</v>
      </c>
      <c r="F313">
        <v>22</v>
      </c>
      <c r="G313">
        <v>0</v>
      </c>
      <c r="H313">
        <v>0</v>
      </c>
      <c r="I313" t="s">
        <v>608</v>
      </c>
      <c r="J313" s="9">
        <v>7225</v>
      </c>
      <c r="K313" t="s">
        <v>33</v>
      </c>
      <c r="L313">
        <v>1</v>
      </c>
    </row>
    <row r="314" spans="1:12" x14ac:dyDescent="0.25">
      <c r="A314">
        <v>1204</v>
      </c>
      <c r="B314">
        <v>0</v>
      </c>
      <c r="C314">
        <v>3</v>
      </c>
      <c r="D314" t="s">
        <v>609</v>
      </c>
      <c r="E314" t="s">
        <v>12</v>
      </c>
      <c r="F314">
        <v>44</v>
      </c>
      <c r="G314">
        <v>0</v>
      </c>
      <c r="H314">
        <v>0</v>
      </c>
      <c r="I314" t="s">
        <v>610</v>
      </c>
      <c r="J314" s="9">
        <v>7575</v>
      </c>
      <c r="K314" t="s">
        <v>18</v>
      </c>
      <c r="L314">
        <v>1</v>
      </c>
    </row>
    <row r="315" spans="1:12" x14ac:dyDescent="0.25">
      <c r="A315">
        <v>1205</v>
      </c>
      <c r="B315">
        <v>1</v>
      </c>
      <c r="C315">
        <v>3</v>
      </c>
      <c r="D315" t="s">
        <v>611</v>
      </c>
      <c r="E315" t="s">
        <v>16</v>
      </c>
      <c r="F315">
        <v>37</v>
      </c>
      <c r="G315">
        <v>0</v>
      </c>
      <c r="H315">
        <v>0</v>
      </c>
      <c r="I315" t="s">
        <v>612</v>
      </c>
      <c r="J315" s="9">
        <v>7.75</v>
      </c>
      <c r="K315" t="s">
        <v>14</v>
      </c>
      <c r="L315">
        <v>1</v>
      </c>
    </row>
    <row r="316" spans="1:12" x14ac:dyDescent="0.25">
      <c r="A316">
        <v>1206</v>
      </c>
      <c r="B316">
        <v>1</v>
      </c>
      <c r="C316">
        <v>1</v>
      </c>
      <c r="D316" t="s">
        <v>613</v>
      </c>
      <c r="E316" t="s">
        <v>16</v>
      </c>
      <c r="F316">
        <v>55</v>
      </c>
      <c r="G316">
        <v>0</v>
      </c>
      <c r="H316">
        <v>0</v>
      </c>
      <c r="I316" t="s">
        <v>614</v>
      </c>
      <c r="J316" s="9">
        <v>32</v>
      </c>
      <c r="K316" t="s">
        <v>33</v>
      </c>
      <c r="L316">
        <v>1</v>
      </c>
    </row>
    <row r="317" spans="1:12" x14ac:dyDescent="0.25">
      <c r="A317">
        <v>1207</v>
      </c>
      <c r="B317">
        <v>1</v>
      </c>
      <c r="C317">
        <v>3</v>
      </c>
      <c r="D317" t="s">
        <v>615</v>
      </c>
      <c r="E317" t="s">
        <v>16</v>
      </c>
      <c r="F317">
        <v>17</v>
      </c>
      <c r="G317">
        <v>0</v>
      </c>
      <c r="H317">
        <v>0</v>
      </c>
      <c r="I317" t="s">
        <v>616</v>
      </c>
      <c r="J317" s="9">
        <v>77333</v>
      </c>
      <c r="K317" t="s">
        <v>14</v>
      </c>
      <c r="L317">
        <v>1</v>
      </c>
    </row>
    <row r="318" spans="1:12" x14ac:dyDescent="0.25">
      <c r="A318">
        <v>1208</v>
      </c>
      <c r="B318">
        <v>0</v>
      </c>
      <c r="C318">
        <v>1</v>
      </c>
      <c r="D318" t="s">
        <v>617</v>
      </c>
      <c r="E318" t="s">
        <v>12</v>
      </c>
      <c r="F318">
        <v>57</v>
      </c>
      <c r="G318">
        <v>1</v>
      </c>
      <c r="H318">
        <v>0</v>
      </c>
      <c r="I318" t="s">
        <v>618</v>
      </c>
      <c r="J318" s="9">
        <v>35</v>
      </c>
      <c r="K318" t="s">
        <v>33</v>
      </c>
      <c r="L318">
        <v>1</v>
      </c>
    </row>
    <row r="319" spans="1:12" x14ac:dyDescent="0.25">
      <c r="A319">
        <v>1209</v>
      </c>
      <c r="B319">
        <v>0</v>
      </c>
      <c r="C319">
        <v>2</v>
      </c>
      <c r="D319" t="s">
        <v>619</v>
      </c>
      <c r="E319" t="s">
        <v>12</v>
      </c>
      <c r="F319">
        <v>19</v>
      </c>
      <c r="G319">
        <v>0</v>
      </c>
      <c r="H319">
        <v>0</v>
      </c>
      <c r="I319" t="s">
        <v>620</v>
      </c>
      <c r="J319" s="9">
        <v>10.5</v>
      </c>
      <c r="K319" t="s">
        <v>18</v>
      </c>
      <c r="L319">
        <v>1</v>
      </c>
    </row>
    <row r="320" spans="1:12" x14ac:dyDescent="0.25">
      <c r="A320">
        <v>1210</v>
      </c>
      <c r="B320">
        <v>0</v>
      </c>
      <c r="C320">
        <v>3</v>
      </c>
      <c r="D320" t="s">
        <v>621</v>
      </c>
      <c r="E320" t="s">
        <v>12</v>
      </c>
      <c r="F320">
        <v>27</v>
      </c>
      <c r="G320">
        <v>0</v>
      </c>
      <c r="H320">
        <v>0</v>
      </c>
      <c r="I320" t="s">
        <v>622</v>
      </c>
      <c r="J320" s="9">
        <v>78542</v>
      </c>
      <c r="K320" t="s">
        <v>18</v>
      </c>
      <c r="L320">
        <v>1</v>
      </c>
    </row>
    <row r="321" spans="1:12" x14ac:dyDescent="0.25">
      <c r="A321">
        <v>1211</v>
      </c>
      <c r="B321">
        <v>0</v>
      </c>
      <c r="C321">
        <v>2</v>
      </c>
      <c r="D321" t="s">
        <v>623</v>
      </c>
      <c r="E321" t="s">
        <v>12</v>
      </c>
      <c r="F321">
        <v>22</v>
      </c>
      <c r="G321">
        <v>2</v>
      </c>
      <c r="H321">
        <v>0</v>
      </c>
      <c r="I321" t="s">
        <v>79</v>
      </c>
      <c r="J321" s="9">
        <v>31.5</v>
      </c>
      <c r="K321" t="s">
        <v>18</v>
      </c>
      <c r="L321">
        <v>1</v>
      </c>
    </row>
    <row r="322" spans="1:12" x14ac:dyDescent="0.25">
      <c r="A322">
        <v>1212</v>
      </c>
      <c r="B322">
        <v>0</v>
      </c>
      <c r="C322">
        <v>3</v>
      </c>
      <c r="D322" t="s">
        <v>624</v>
      </c>
      <c r="E322" t="s">
        <v>12</v>
      </c>
      <c r="F322">
        <v>26</v>
      </c>
      <c r="G322">
        <v>0</v>
      </c>
      <c r="H322">
        <v>0</v>
      </c>
      <c r="I322" t="s">
        <v>625</v>
      </c>
      <c r="J322" s="9">
        <v>7775</v>
      </c>
      <c r="K322" t="s">
        <v>18</v>
      </c>
      <c r="L322">
        <v>1</v>
      </c>
    </row>
    <row r="323" spans="1:12" x14ac:dyDescent="0.25">
      <c r="A323">
        <v>1213</v>
      </c>
      <c r="B323">
        <v>0</v>
      </c>
      <c r="C323">
        <v>3</v>
      </c>
      <c r="D323" t="s">
        <v>626</v>
      </c>
      <c r="E323" t="s">
        <v>12</v>
      </c>
      <c r="F323">
        <v>25</v>
      </c>
      <c r="G323">
        <v>0</v>
      </c>
      <c r="H323">
        <v>0</v>
      </c>
      <c r="I323" t="s">
        <v>627</v>
      </c>
      <c r="J323" s="9">
        <v>72292</v>
      </c>
      <c r="K323" t="s">
        <v>33</v>
      </c>
      <c r="L323">
        <v>1</v>
      </c>
    </row>
    <row r="324" spans="1:12" x14ac:dyDescent="0.25">
      <c r="A324">
        <v>1214</v>
      </c>
      <c r="B324">
        <v>0</v>
      </c>
      <c r="C324">
        <v>2</v>
      </c>
      <c r="D324" t="s">
        <v>628</v>
      </c>
      <c r="E324" t="s">
        <v>12</v>
      </c>
      <c r="F324">
        <v>26</v>
      </c>
      <c r="G324">
        <v>0</v>
      </c>
      <c r="H324">
        <v>0</v>
      </c>
      <c r="I324" t="s">
        <v>629</v>
      </c>
      <c r="J324" s="9">
        <v>13</v>
      </c>
      <c r="K324" t="s">
        <v>18</v>
      </c>
      <c r="L324">
        <v>1</v>
      </c>
    </row>
    <row r="325" spans="1:12" x14ac:dyDescent="0.25">
      <c r="A325">
        <v>1215</v>
      </c>
      <c r="B325">
        <v>0</v>
      </c>
      <c r="C325">
        <v>1</v>
      </c>
      <c r="D325" t="s">
        <v>630</v>
      </c>
      <c r="E325" t="s">
        <v>12</v>
      </c>
      <c r="F325">
        <v>33</v>
      </c>
      <c r="G325">
        <v>0</v>
      </c>
      <c r="H325">
        <v>0</v>
      </c>
      <c r="I325" t="s">
        <v>631</v>
      </c>
      <c r="J325" s="9">
        <v>26.55</v>
      </c>
      <c r="K325" t="s">
        <v>18</v>
      </c>
      <c r="L325">
        <v>1</v>
      </c>
    </row>
    <row r="326" spans="1:12" x14ac:dyDescent="0.25">
      <c r="A326">
        <v>1216</v>
      </c>
      <c r="B326">
        <v>1</v>
      </c>
      <c r="C326">
        <v>1</v>
      </c>
      <c r="D326" t="s">
        <v>632</v>
      </c>
      <c r="E326" t="s">
        <v>16</v>
      </c>
      <c r="F326">
        <v>39</v>
      </c>
      <c r="G326">
        <v>0</v>
      </c>
      <c r="H326">
        <v>0</v>
      </c>
      <c r="I326" t="s">
        <v>633</v>
      </c>
      <c r="J326" s="9">
        <v>24</v>
      </c>
      <c r="K326" t="s">
        <v>18</v>
      </c>
      <c r="L326">
        <v>1</v>
      </c>
    </row>
    <row r="327" spans="1:12" x14ac:dyDescent="0.25">
      <c r="A327">
        <v>1217</v>
      </c>
      <c r="B327">
        <v>0</v>
      </c>
      <c r="C327">
        <v>3</v>
      </c>
      <c r="D327" t="s">
        <v>634</v>
      </c>
      <c r="E327" t="s">
        <v>12</v>
      </c>
      <c r="F327">
        <v>23</v>
      </c>
      <c r="G327">
        <v>0</v>
      </c>
      <c r="H327">
        <v>0</v>
      </c>
      <c r="I327" t="s">
        <v>635</v>
      </c>
      <c r="J327" s="9">
        <v>7.05</v>
      </c>
      <c r="K327" t="s">
        <v>18</v>
      </c>
      <c r="L327">
        <v>1</v>
      </c>
    </row>
    <row r="328" spans="1:12" x14ac:dyDescent="0.25">
      <c r="A328">
        <v>1218</v>
      </c>
      <c r="B328">
        <v>1</v>
      </c>
      <c r="C328">
        <v>2</v>
      </c>
      <c r="D328" t="s">
        <v>636</v>
      </c>
      <c r="E328" t="s">
        <v>16</v>
      </c>
      <c r="F328">
        <v>12</v>
      </c>
      <c r="G328">
        <v>2</v>
      </c>
      <c r="H328">
        <v>1</v>
      </c>
      <c r="I328" t="s">
        <v>361</v>
      </c>
      <c r="J328" s="9">
        <v>39</v>
      </c>
      <c r="K328" t="s">
        <v>18</v>
      </c>
      <c r="L328">
        <v>1</v>
      </c>
    </row>
    <row r="329" spans="1:12" x14ac:dyDescent="0.25">
      <c r="A329">
        <v>1219</v>
      </c>
      <c r="B329">
        <v>0</v>
      </c>
      <c r="C329">
        <v>1</v>
      </c>
      <c r="D329" t="s">
        <v>637</v>
      </c>
      <c r="E329" t="s">
        <v>12</v>
      </c>
      <c r="F329">
        <v>46</v>
      </c>
      <c r="G329">
        <v>0</v>
      </c>
      <c r="H329">
        <v>0</v>
      </c>
      <c r="I329" t="s">
        <v>638</v>
      </c>
      <c r="J329" s="9">
        <v>79.2</v>
      </c>
      <c r="K329" t="s">
        <v>33</v>
      </c>
      <c r="L329">
        <v>1</v>
      </c>
    </row>
    <row r="330" spans="1:12" x14ac:dyDescent="0.25">
      <c r="A330">
        <v>1220</v>
      </c>
      <c r="B330">
        <v>0</v>
      </c>
      <c r="C330">
        <v>2</v>
      </c>
      <c r="D330" t="s">
        <v>639</v>
      </c>
      <c r="E330" t="s">
        <v>12</v>
      </c>
      <c r="F330">
        <v>29</v>
      </c>
      <c r="G330">
        <v>1</v>
      </c>
      <c r="H330">
        <v>0</v>
      </c>
      <c r="I330" t="s">
        <v>640</v>
      </c>
      <c r="J330" s="9">
        <v>26</v>
      </c>
      <c r="K330" t="s">
        <v>18</v>
      </c>
      <c r="L330">
        <v>1</v>
      </c>
    </row>
    <row r="331" spans="1:12" x14ac:dyDescent="0.25">
      <c r="A331">
        <v>1221</v>
      </c>
      <c r="B331">
        <v>0</v>
      </c>
      <c r="C331">
        <v>2</v>
      </c>
      <c r="D331" t="s">
        <v>641</v>
      </c>
      <c r="E331" t="s">
        <v>12</v>
      </c>
      <c r="F331">
        <v>21</v>
      </c>
      <c r="G331">
        <v>0</v>
      </c>
      <c r="H331">
        <v>0</v>
      </c>
      <c r="I331" t="s">
        <v>642</v>
      </c>
      <c r="J331" s="9">
        <v>13</v>
      </c>
      <c r="K331" t="s">
        <v>18</v>
      </c>
      <c r="L331">
        <v>1</v>
      </c>
    </row>
    <row r="332" spans="1:12" x14ac:dyDescent="0.25">
      <c r="A332">
        <v>1222</v>
      </c>
      <c r="B332">
        <v>1</v>
      </c>
      <c r="C332">
        <v>2</v>
      </c>
      <c r="D332" t="s">
        <v>643</v>
      </c>
      <c r="E332" t="s">
        <v>16</v>
      </c>
      <c r="F332">
        <v>48</v>
      </c>
      <c r="G332">
        <v>0</v>
      </c>
      <c r="H332">
        <v>2</v>
      </c>
      <c r="I332" t="s">
        <v>358</v>
      </c>
      <c r="J332" s="9">
        <v>36.75</v>
      </c>
      <c r="K332" t="s">
        <v>18</v>
      </c>
      <c r="L332">
        <v>1</v>
      </c>
    </row>
    <row r="333" spans="1:12" x14ac:dyDescent="0.25">
      <c r="A333">
        <v>1223</v>
      </c>
      <c r="B333">
        <v>0</v>
      </c>
      <c r="C333">
        <v>1</v>
      </c>
      <c r="D333" t="s">
        <v>644</v>
      </c>
      <c r="E333" t="s">
        <v>12</v>
      </c>
      <c r="F333">
        <v>39</v>
      </c>
      <c r="G333">
        <v>0</v>
      </c>
      <c r="H333">
        <v>0</v>
      </c>
      <c r="I333" t="s">
        <v>645</v>
      </c>
      <c r="J333" s="9">
        <v>29.7</v>
      </c>
      <c r="K333" t="s">
        <v>33</v>
      </c>
      <c r="L333">
        <v>1</v>
      </c>
    </row>
    <row r="334" spans="1:12" x14ac:dyDescent="0.25">
      <c r="A334">
        <v>1224</v>
      </c>
      <c r="B334">
        <v>0</v>
      </c>
      <c r="C334">
        <v>3</v>
      </c>
      <c r="D334" t="s">
        <v>646</v>
      </c>
      <c r="E334" t="s">
        <v>12</v>
      </c>
      <c r="F334">
        <v>20</v>
      </c>
      <c r="G334">
        <v>0</v>
      </c>
      <c r="H334">
        <v>0</v>
      </c>
      <c r="I334" t="s">
        <v>647</v>
      </c>
      <c r="J334" s="9">
        <v>7225</v>
      </c>
      <c r="K334" t="s">
        <v>33</v>
      </c>
      <c r="L334">
        <v>1</v>
      </c>
    </row>
    <row r="335" spans="1:12" x14ac:dyDescent="0.25">
      <c r="A335">
        <v>1225</v>
      </c>
      <c r="B335">
        <v>1</v>
      </c>
      <c r="C335">
        <v>3</v>
      </c>
      <c r="D335" t="s">
        <v>648</v>
      </c>
      <c r="E335" t="s">
        <v>16</v>
      </c>
      <c r="F335">
        <v>19</v>
      </c>
      <c r="G335">
        <v>1</v>
      </c>
      <c r="H335">
        <v>1</v>
      </c>
      <c r="I335" t="s">
        <v>649</v>
      </c>
      <c r="J335" s="9">
        <v>157417</v>
      </c>
      <c r="K335" t="s">
        <v>33</v>
      </c>
      <c r="L335">
        <v>1</v>
      </c>
    </row>
    <row r="336" spans="1:12" x14ac:dyDescent="0.25">
      <c r="A336">
        <v>1226</v>
      </c>
      <c r="B336">
        <v>0</v>
      </c>
      <c r="C336">
        <v>3</v>
      </c>
      <c r="D336" t="s">
        <v>650</v>
      </c>
      <c r="E336" t="s">
        <v>12</v>
      </c>
      <c r="F336">
        <v>27</v>
      </c>
      <c r="G336">
        <v>0</v>
      </c>
      <c r="H336">
        <v>0</v>
      </c>
      <c r="I336" t="s">
        <v>651</v>
      </c>
      <c r="J336" s="9">
        <v>78958</v>
      </c>
      <c r="K336" t="s">
        <v>18</v>
      </c>
      <c r="L336">
        <v>1</v>
      </c>
    </row>
    <row r="337" spans="1:12" x14ac:dyDescent="0.25">
      <c r="A337">
        <v>1227</v>
      </c>
      <c r="B337">
        <v>0</v>
      </c>
      <c r="C337">
        <v>1</v>
      </c>
      <c r="D337" t="s">
        <v>652</v>
      </c>
      <c r="E337" t="s">
        <v>12</v>
      </c>
      <c r="F337">
        <v>30</v>
      </c>
      <c r="G337">
        <v>0</v>
      </c>
      <c r="H337">
        <v>0</v>
      </c>
      <c r="I337" t="s">
        <v>653</v>
      </c>
      <c r="J337" s="9">
        <v>26</v>
      </c>
      <c r="K337" t="s">
        <v>18</v>
      </c>
      <c r="L337">
        <v>1</v>
      </c>
    </row>
    <row r="338" spans="1:12" x14ac:dyDescent="0.25">
      <c r="A338">
        <v>1228</v>
      </c>
      <c r="B338">
        <v>0</v>
      </c>
      <c r="C338">
        <v>2</v>
      </c>
      <c r="D338" t="s">
        <v>654</v>
      </c>
      <c r="E338" t="s">
        <v>12</v>
      </c>
      <c r="F338">
        <v>32</v>
      </c>
      <c r="G338">
        <v>0</v>
      </c>
      <c r="H338">
        <v>0</v>
      </c>
      <c r="I338" t="s">
        <v>655</v>
      </c>
      <c r="J338" s="9">
        <v>13</v>
      </c>
      <c r="K338" t="s">
        <v>18</v>
      </c>
      <c r="L338">
        <v>1</v>
      </c>
    </row>
    <row r="339" spans="1:12" x14ac:dyDescent="0.25">
      <c r="A339">
        <v>1229</v>
      </c>
      <c r="B339">
        <v>0</v>
      </c>
      <c r="C339">
        <v>3</v>
      </c>
      <c r="D339" t="s">
        <v>656</v>
      </c>
      <c r="E339" t="s">
        <v>12</v>
      </c>
      <c r="F339">
        <v>39</v>
      </c>
      <c r="G339">
        <v>0</v>
      </c>
      <c r="H339">
        <v>2</v>
      </c>
      <c r="I339" t="s">
        <v>657</v>
      </c>
      <c r="J339" s="9">
        <v>72292</v>
      </c>
      <c r="K339" t="s">
        <v>33</v>
      </c>
      <c r="L339">
        <v>1</v>
      </c>
    </row>
    <row r="340" spans="1:12" x14ac:dyDescent="0.25">
      <c r="A340">
        <v>1230</v>
      </c>
      <c r="B340">
        <v>0</v>
      </c>
      <c r="C340">
        <v>2</v>
      </c>
      <c r="D340" t="s">
        <v>658</v>
      </c>
      <c r="E340" t="s">
        <v>12</v>
      </c>
      <c r="F340">
        <v>25</v>
      </c>
      <c r="G340">
        <v>0</v>
      </c>
      <c r="H340">
        <v>0</v>
      </c>
      <c r="I340" t="s">
        <v>79</v>
      </c>
      <c r="J340" s="9">
        <v>31.5</v>
      </c>
      <c r="K340" t="s">
        <v>18</v>
      </c>
      <c r="L340">
        <v>1</v>
      </c>
    </row>
    <row r="341" spans="1:12" x14ac:dyDescent="0.25">
      <c r="A341">
        <v>1231</v>
      </c>
      <c r="B341">
        <v>0</v>
      </c>
      <c r="C341">
        <v>3</v>
      </c>
      <c r="D341" t="s">
        <v>659</v>
      </c>
      <c r="E341" t="s">
        <v>12</v>
      </c>
      <c r="F341">
        <v>37</v>
      </c>
      <c r="G341">
        <v>0</v>
      </c>
      <c r="H341">
        <v>0</v>
      </c>
      <c r="I341" t="s">
        <v>660</v>
      </c>
      <c r="J341" s="9">
        <v>72292</v>
      </c>
      <c r="K341" t="s">
        <v>33</v>
      </c>
      <c r="L341">
        <v>1</v>
      </c>
    </row>
    <row r="342" spans="1:12" x14ac:dyDescent="0.25">
      <c r="A342">
        <v>1232</v>
      </c>
      <c r="B342">
        <v>0</v>
      </c>
      <c r="C342">
        <v>2</v>
      </c>
      <c r="D342" t="s">
        <v>661</v>
      </c>
      <c r="E342" t="s">
        <v>12</v>
      </c>
      <c r="F342">
        <v>18</v>
      </c>
      <c r="G342">
        <v>0</v>
      </c>
      <c r="H342">
        <v>0</v>
      </c>
      <c r="I342" t="s">
        <v>662</v>
      </c>
      <c r="J342" s="9">
        <v>10.5</v>
      </c>
      <c r="K342" t="s">
        <v>18</v>
      </c>
      <c r="L342">
        <v>1</v>
      </c>
    </row>
    <row r="343" spans="1:12" x14ac:dyDescent="0.25">
      <c r="A343">
        <v>1233</v>
      </c>
      <c r="B343">
        <v>0</v>
      </c>
      <c r="C343">
        <v>3</v>
      </c>
      <c r="D343" t="s">
        <v>663</v>
      </c>
      <c r="E343" t="s">
        <v>12</v>
      </c>
      <c r="F343">
        <v>32</v>
      </c>
      <c r="G343">
        <v>0</v>
      </c>
      <c r="H343">
        <v>0</v>
      </c>
      <c r="I343" t="s">
        <v>664</v>
      </c>
      <c r="J343" s="9">
        <v>75792</v>
      </c>
      <c r="K343" t="s">
        <v>18</v>
      </c>
      <c r="L343">
        <v>1</v>
      </c>
    </row>
    <row r="344" spans="1:12" x14ac:dyDescent="0.25">
      <c r="A344">
        <v>1234</v>
      </c>
      <c r="B344">
        <v>0</v>
      </c>
      <c r="C344">
        <v>3</v>
      </c>
      <c r="D344" t="s">
        <v>665</v>
      </c>
      <c r="E344" t="s">
        <v>12</v>
      </c>
      <c r="F344">
        <v>32</v>
      </c>
      <c r="G344">
        <v>1</v>
      </c>
      <c r="H344">
        <v>9</v>
      </c>
      <c r="I344" t="s">
        <v>380</v>
      </c>
      <c r="J344" s="9">
        <v>69.55</v>
      </c>
      <c r="K344" t="s">
        <v>18</v>
      </c>
      <c r="L344">
        <v>1</v>
      </c>
    </row>
    <row r="345" spans="1:12" x14ac:dyDescent="0.25">
      <c r="A345">
        <v>1235</v>
      </c>
      <c r="B345">
        <v>1</v>
      </c>
      <c r="C345">
        <v>1</v>
      </c>
      <c r="D345" t="s">
        <v>666</v>
      </c>
      <c r="E345" t="s">
        <v>16</v>
      </c>
      <c r="F345">
        <v>58</v>
      </c>
      <c r="G345">
        <v>0</v>
      </c>
      <c r="H345">
        <v>1</v>
      </c>
      <c r="I345" t="s">
        <v>667</v>
      </c>
      <c r="J345" s="9">
        <v>32</v>
      </c>
      <c r="K345" t="s">
        <v>33</v>
      </c>
      <c r="L345">
        <v>1</v>
      </c>
    </row>
    <row r="346" spans="1:12" x14ac:dyDescent="0.25">
      <c r="A346">
        <v>1236</v>
      </c>
      <c r="B346">
        <v>0</v>
      </c>
      <c r="C346">
        <v>3</v>
      </c>
      <c r="D346" t="s">
        <v>668</v>
      </c>
      <c r="E346" t="s">
        <v>12</v>
      </c>
      <c r="F346">
        <v>48</v>
      </c>
      <c r="G346">
        <v>1</v>
      </c>
      <c r="H346">
        <v>1</v>
      </c>
      <c r="I346" t="s">
        <v>388</v>
      </c>
      <c r="J346" s="9">
        <v>14.5</v>
      </c>
      <c r="K346" t="s">
        <v>18</v>
      </c>
      <c r="L346">
        <v>1</v>
      </c>
    </row>
    <row r="347" spans="1:12" x14ac:dyDescent="0.25">
      <c r="A347">
        <v>1237</v>
      </c>
      <c r="B347">
        <v>1</v>
      </c>
      <c r="C347">
        <v>3</v>
      </c>
      <c r="D347" t="s">
        <v>669</v>
      </c>
      <c r="E347" t="s">
        <v>16</v>
      </c>
      <c r="F347">
        <v>16</v>
      </c>
      <c r="G347">
        <v>0</v>
      </c>
      <c r="H347">
        <v>0</v>
      </c>
      <c r="I347" t="s">
        <v>670</v>
      </c>
      <c r="J347" s="9">
        <v>7.65</v>
      </c>
      <c r="K347" t="s">
        <v>18</v>
      </c>
      <c r="L347">
        <v>1</v>
      </c>
    </row>
    <row r="348" spans="1:12" x14ac:dyDescent="0.25">
      <c r="A348">
        <v>1238</v>
      </c>
      <c r="B348">
        <v>0</v>
      </c>
      <c r="C348">
        <v>2</v>
      </c>
      <c r="D348" t="s">
        <v>671</v>
      </c>
      <c r="E348" t="s">
        <v>12</v>
      </c>
      <c r="F348">
        <v>26</v>
      </c>
      <c r="G348">
        <v>0</v>
      </c>
      <c r="H348">
        <v>0</v>
      </c>
      <c r="I348" t="s">
        <v>672</v>
      </c>
      <c r="J348" s="9">
        <v>13</v>
      </c>
      <c r="K348" t="s">
        <v>18</v>
      </c>
      <c r="L348">
        <v>1</v>
      </c>
    </row>
    <row r="349" spans="1:12" x14ac:dyDescent="0.25">
      <c r="A349">
        <v>1239</v>
      </c>
      <c r="B349">
        <v>1</v>
      </c>
      <c r="C349">
        <v>3</v>
      </c>
      <c r="D349" t="s">
        <v>673</v>
      </c>
      <c r="E349" t="s">
        <v>16</v>
      </c>
      <c r="F349">
        <v>38</v>
      </c>
      <c r="G349">
        <v>0</v>
      </c>
      <c r="H349">
        <v>0</v>
      </c>
      <c r="I349" t="s">
        <v>674</v>
      </c>
      <c r="J349" s="9">
        <v>72292</v>
      </c>
      <c r="K349" t="s">
        <v>33</v>
      </c>
      <c r="L349">
        <v>1</v>
      </c>
    </row>
    <row r="350" spans="1:12" x14ac:dyDescent="0.25">
      <c r="A350">
        <v>1240</v>
      </c>
      <c r="B350">
        <v>0</v>
      </c>
      <c r="C350">
        <v>2</v>
      </c>
      <c r="D350" t="s">
        <v>675</v>
      </c>
      <c r="E350" t="s">
        <v>12</v>
      </c>
      <c r="F350">
        <v>24</v>
      </c>
      <c r="G350">
        <v>0</v>
      </c>
      <c r="H350">
        <v>0</v>
      </c>
      <c r="I350" t="s">
        <v>676</v>
      </c>
      <c r="J350" s="9">
        <v>13.5</v>
      </c>
      <c r="K350" t="s">
        <v>18</v>
      </c>
      <c r="L350">
        <v>1</v>
      </c>
    </row>
    <row r="351" spans="1:12" x14ac:dyDescent="0.25">
      <c r="A351">
        <v>1241</v>
      </c>
      <c r="B351">
        <v>1</v>
      </c>
      <c r="C351">
        <v>2</v>
      </c>
      <c r="D351" t="s">
        <v>677</v>
      </c>
      <c r="E351" t="s">
        <v>16</v>
      </c>
      <c r="F351">
        <v>31</v>
      </c>
      <c r="G351">
        <v>0</v>
      </c>
      <c r="H351">
        <v>0</v>
      </c>
      <c r="I351" t="s">
        <v>678</v>
      </c>
      <c r="J351" s="9">
        <v>21</v>
      </c>
      <c r="K351" t="s">
        <v>18</v>
      </c>
      <c r="L351">
        <v>1</v>
      </c>
    </row>
    <row r="352" spans="1:12" x14ac:dyDescent="0.25">
      <c r="A352">
        <v>1242</v>
      </c>
      <c r="B352">
        <v>1</v>
      </c>
      <c r="C352">
        <v>1</v>
      </c>
      <c r="D352" t="s">
        <v>679</v>
      </c>
      <c r="E352" t="s">
        <v>16</v>
      </c>
      <c r="F352">
        <v>45</v>
      </c>
      <c r="G352">
        <v>0</v>
      </c>
      <c r="H352">
        <v>1</v>
      </c>
      <c r="I352" t="s">
        <v>680</v>
      </c>
      <c r="J352" s="9">
        <v>24</v>
      </c>
      <c r="K352" t="s">
        <v>33</v>
      </c>
      <c r="L352">
        <v>1</v>
      </c>
    </row>
    <row r="353" spans="1:12" x14ac:dyDescent="0.25">
      <c r="A353">
        <v>1243</v>
      </c>
      <c r="B353">
        <v>0</v>
      </c>
      <c r="C353">
        <v>2</v>
      </c>
      <c r="D353" t="s">
        <v>681</v>
      </c>
      <c r="E353" t="s">
        <v>12</v>
      </c>
      <c r="F353">
        <v>25</v>
      </c>
      <c r="G353">
        <v>0</v>
      </c>
      <c r="H353">
        <v>0</v>
      </c>
      <c r="I353" t="s">
        <v>682</v>
      </c>
      <c r="J353" s="9">
        <v>10.5</v>
      </c>
      <c r="K353" t="s">
        <v>18</v>
      </c>
      <c r="L353">
        <v>1</v>
      </c>
    </row>
    <row r="354" spans="1:12" x14ac:dyDescent="0.25">
      <c r="A354">
        <v>1244</v>
      </c>
      <c r="B354">
        <v>0</v>
      </c>
      <c r="C354">
        <v>2</v>
      </c>
      <c r="D354" t="s">
        <v>683</v>
      </c>
      <c r="E354" t="s">
        <v>12</v>
      </c>
      <c r="F354">
        <v>18</v>
      </c>
      <c r="G354">
        <v>0</v>
      </c>
      <c r="H354">
        <v>0</v>
      </c>
      <c r="I354" t="s">
        <v>427</v>
      </c>
      <c r="J354" s="9">
        <v>73.5</v>
      </c>
      <c r="K354" t="s">
        <v>18</v>
      </c>
      <c r="L354">
        <v>1</v>
      </c>
    </row>
    <row r="355" spans="1:12" x14ac:dyDescent="0.25">
      <c r="A355">
        <v>1245</v>
      </c>
      <c r="B355">
        <v>0</v>
      </c>
      <c r="C355">
        <v>2</v>
      </c>
      <c r="D355" t="s">
        <v>684</v>
      </c>
      <c r="E355" t="s">
        <v>12</v>
      </c>
      <c r="F355">
        <v>49</v>
      </c>
      <c r="G355">
        <v>1</v>
      </c>
      <c r="H355">
        <v>2</v>
      </c>
      <c r="I355" t="s">
        <v>461</v>
      </c>
      <c r="J355" s="9">
        <v>65</v>
      </c>
      <c r="K355" t="s">
        <v>18</v>
      </c>
      <c r="L355">
        <v>1</v>
      </c>
    </row>
    <row r="356" spans="1:12" x14ac:dyDescent="0.25">
      <c r="A356">
        <v>1246</v>
      </c>
      <c r="B356">
        <v>1</v>
      </c>
      <c r="C356">
        <v>3</v>
      </c>
      <c r="D356" t="s">
        <v>685</v>
      </c>
      <c r="E356" t="s">
        <v>16</v>
      </c>
      <c r="F356">
        <v>0.17</v>
      </c>
      <c r="G356">
        <v>1</v>
      </c>
      <c r="H356">
        <v>2</v>
      </c>
      <c r="I356" t="s">
        <v>81</v>
      </c>
      <c r="J356" s="9">
        <v>20575</v>
      </c>
      <c r="K356" t="s">
        <v>18</v>
      </c>
      <c r="L356">
        <v>1</v>
      </c>
    </row>
    <row r="357" spans="1:12" x14ac:dyDescent="0.25">
      <c r="A357">
        <v>1247</v>
      </c>
      <c r="B357">
        <v>0</v>
      </c>
      <c r="C357">
        <v>1</v>
      </c>
      <c r="D357" t="s">
        <v>686</v>
      </c>
      <c r="E357" t="s">
        <v>12</v>
      </c>
      <c r="F357">
        <v>50</v>
      </c>
      <c r="G357">
        <v>0</v>
      </c>
      <c r="H357">
        <v>0</v>
      </c>
      <c r="I357" t="s">
        <v>687</v>
      </c>
      <c r="J357" s="9">
        <v>26</v>
      </c>
      <c r="K357" t="s">
        <v>18</v>
      </c>
      <c r="L357">
        <v>1</v>
      </c>
    </row>
    <row r="358" spans="1:12" x14ac:dyDescent="0.25">
      <c r="A358">
        <v>1248</v>
      </c>
      <c r="B358">
        <v>1</v>
      </c>
      <c r="C358">
        <v>1</v>
      </c>
      <c r="D358" t="s">
        <v>688</v>
      </c>
      <c r="E358" t="s">
        <v>16</v>
      </c>
      <c r="F358">
        <v>59</v>
      </c>
      <c r="G358">
        <v>2</v>
      </c>
      <c r="H358">
        <v>0</v>
      </c>
      <c r="I358" t="s">
        <v>689</v>
      </c>
      <c r="J358" s="9">
        <v>60</v>
      </c>
      <c r="K358" t="s">
        <v>18</v>
      </c>
      <c r="L358">
        <v>1</v>
      </c>
    </row>
    <row r="359" spans="1:12" x14ac:dyDescent="0.25">
      <c r="A359">
        <v>1249</v>
      </c>
      <c r="B359">
        <v>0</v>
      </c>
      <c r="C359">
        <v>3</v>
      </c>
      <c r="D359" t="s">
        <v>690</v>
      </c>
      <c r="E359" t="s">
        <v>12</v>
      </c>
      <c r="F359">
        <v>32</v>
      </c>
      <c r="G359">
        <v>0</v>
      </c>
      <c r="H359">
        <v>0</v>
      </c>
      <c r="I359" t="s">
        <v>691</v>
      </c>
      <c r="J359" s="9">
        <v>78792</v>
      </c>
      <c r="K359" t="s">
        <v>18</v>
      </c>
      <c r="L359">
        <v>1</v>
      </c>
    </row>
    <row r="360" spans="1:12" x14ac:dyDescent="0.25">
      <c r="A360">
        <v>1250</v>
      </c>
      <c r="B360">
        <v>0</v>
      </c>
      <c r="C360">
        <v>3</v>
      </c>
      <c r="D360" t="s">
        <v>692</v>
      </c>
      <c r="E360" t="s">
        <v>12</v>
      </c>
      <c r="F360">
        <v>42</v>
      </c>
      <c r="G360">
        <v>0</v>
      </c>
      <c r="H360">
        <v>0</v>
      </c>
      <c r="I360" t="s">
        <v>693</v>
      </c>
      <c r="J360" s="9">
        <v>7.75</v>
      </c>
      <c r="K360" t="s">
        <v>14</v>
      </c>
      <c r="L360">
        <v>1</v>
      </c>
    </row>
    <row r="361" spans="1:12" x14ac:dyDescent="0.25">
      <c r="A361">
        <v>1251</v>
      </c>
      <c r="B361">
        <v>1</v>
      </c>
      <c r="C361">
        <v>3</v>
      </c>
      <c r="D361" t="s">
        <v>694</v>
      </c>
      <c r="E361" t="s">
        <v>16</v>
      </c>
      <c r="F361">
        <v>30</v>
      </c>
      <c r="G361">
        <v>1</v>
      </c>
      <c r="H361">
        <v>0</v>
      </c>
      <c r="I361" t="s">
        <v>695</v>
      </c>
      <c r="J361" s="9">
        <v>15.55</v>
      </c>
      <c r="K361" t="s">
        <v>18</v>
      </c>
      <c r="L361">
        <v>1</v>
      </c>
    </row>
    <row r="362" spans="1:12" x14ac:dyDescent="0.25">
      <c r="A362">
        <v>1252</v>
      </c>
      <c r="B362">
        <v>0</v>
      </c>
      <c r="C362">
        <v>3</v>
      </c>
      <c r="D362" t="s">
        <v>696</v>
      </c>
      <c r="E362" t="s">
        <v>12</v>
      </c>
      <c r="F362">
        <v>14.5</v>
      </c>
      <c r="G362">
        <v>8</v>
      </c>
      <c r="H362">
        <v>2</v>
      </c>
      <c r="I362" t="s">
        <v>380</v>
      </c>
      <c r="J362" s="9">
        <v>69.55</v>
      </c>
      <c r="K362" t="s">
        <v>18</v>
      </c>
      <c r="L362">
        <v>1</v>
      </c>
    </row>
    <row r="363" spans="1:12" x14ac:dyDescent="0.25">
      <c r="A363">
        <v>1253</v>
      </c>
      <c r="B363">
        <v>1</v>
      </c>
      <c r="C363">
        <v>2</v>
      </c>
      <c r="D363" t="s">
        <v>697</v>
      </c>
      <c r="E363" t="s">
        <v>16</v>
      </c>
      <c r="F363">
        <v>24</v>
      </c>
      <c r="G363">
        <v>1</v>
      </c>
      <c r="H363">
        <v>1</v>
      </c>
      <c r="I363" t="s">
        <v>698</v>
      </c>
      <c r="J363" s="9">
        <v>370042</v>
      </c>
      <c r="K363" t="s">
        <v>33</v>
      </c>
      <c r="L363">
        <v>1</v>
      </c>
    </row>
    <row r="364" spans="1:12" x14ac:dyDescent="0.25">
      <c r="A364">
        <v>1254</v>
      </c>
      <c r="B364">
        <v>1</v>
      </c>
      <c r="C364">
        <v>2</v>
      </c>
      <c r="D364" t="s">
        <v>699</v>
      </c>
      <c r="E364" t="s">
        <v>16</v>
      </c>
      <c r="F364">
        <v>31</v>
      </c>
      <c r="G364">
        <v>0</v>
      </c>
      <c r="H364">
        <v>0</v>
      </c>
      <c r="I364" t="s">
        <v>548</v>
      </c>
      <c r="J364" s="9">
        <v>21</v>
      </c>
      <c r="K364" t="s">
        <v>18</v>
      </c>
      <c r="L364">
        <v>1</v>
      </c>
    </row>
    <row r="365" spans="1:12" x14ac:dyDescent="0.25">
      <c r="A365">
        <v>1255</v>
      </c>
      <c r="B365">
        <v>0</v>
      </c>
      <c r="C365">
        <v>3</v>
      </c>
      <c r="D365" t="s">
        <v>700</v>
      </c>
      <c r="E365" t="s">
        <v>12</v>
      </c>
      <c r="F365">
        <v>27</v>
      </c>
      <c r="G365">
        <v>0</v>
      </c>
      <c r="H365">
        <v>0</v>
      </c>
      <c r="I365" t="s">
        <v>701</v>
      </c>
      <c r="J365" s="9">
        <v>86625</v>
      </c>
      <c r="K365" t="s">
        <v>18</v>
      </c>
      <c r="L365">
        <v>1</v>
      </c>
    </row>
    <row r="366" spans="1:12" x14ac:dyDescent="0.25">
      <c r="A366">
        <v>1256</v>
      </c>
      <c r="B366">
        <v>1</v>
      </c>
      <c r="C366">
        <v>1</v>
      </c>
      <c r="D366" t="s">
        <v>702</v>
      </c>
      <c r="E366" t="s">
        <v>16</v>
      </c>
      <c r="F366">
        <v>25</v>
      </c>
      <c r="G366">
        <v>1</v>
      </c>
      <c r="H366">
        <v>0</v>
      </c>
      <c r="I366" t="s">
        <v>703</v>
      </c>
      <c r="J366" s="9">
        <v>36</v>
      </c>
      <c r="K366" t="s">
        <v>33</v>
      </c>
      <c r="L366">
        <v>1</v>
      </c>
    </row>
    <row r="367" spans="1:12" x14ac:dyDescent="0.25">
      <c r="A367">
        <v>1257</v>
      </c>
      <c r="B367">
        <v>1</v>
      </c>
      <c r="C367">
        <v>3</v>
      </c>
      <c r="D367" t="s">
        <v>704</v>
      </c>
      <c r="E367" t="s">
        <v>16</v>
      </c>
      <c r="F367">
        <v>49</v>
      </c>
      <c r="G367">
        <v>1</v>
      </c>
      <c r="H367">
        <v>9</v>
      </c>
      <c r="I367" t="s">
        <v>380</v>
      </c>
      <c r="J367" s="9">
        <v>69.55</v>
      </c>
      <c r="K367" t="s">
        <v>18</v>
      </c>
      <c r="L367">
        <v>1</v>
      </c>
    </row>
    <row r="368" spans="1:12" x14ac:dyDescent="0.25">
      <c r="A368">
        <v>1258</v>
      </c>
      <c r="B368">
        <v>0</v>
      </c>
      <c r="C368">
        <v>3</v>
      </c>
      <c r="D368" t="s">
        <v>705</v>
      </c>
      <c r="E368" t="s">
        <v>12</v>
      </c>
      <c r="F368">
        <v>26</v>
      </c>
      <c r="G368">
        <v>1</v>
      </c>
      <c r="H368">
        <v>0</v>
      </c>
      <c r="I368" t="s">
        <v>706</v>
      </c>
      <c r="J368" s="9">
        <v>144583</v>
      </c>
      <c r="K368" t="s">
        <v>33</v>
      </c>
      <c r="L368">
        <v>1</v>
      </c>
    </row>
    <row r="369" spans="1:12" x14ac:dyDescent="0.25">
      <c r="A369">
        <v>1259</v>
      </c>
      <c r="B369">
        <v>1</v>
      </c>
      <c r="C369">
        <v>3</v>
      </c>
      <c r="D369" t="s">
        <v>707</v>
      </c>
      <c r="E369" t="s">
        <v>16</v>
      </c>
      <c r="F369">
        <v>22</v>
      </c>
      <c r="G369">
        <v>0</v>
      </c>
      <c r="H369">
        <v>0</v>
      </c>
      <c r="I369" t="s">
        <v>708</v>
      </c>
      <c r="J369" s="9">
        <v>396875</v>
      </c>
      <c r="K369" t="s">
        <v>18</v>
      </c>
      <c r="L369">
        <v>1</v>
      </c>
    </row>
    <row r="370" spans="1:12" x14ac:dyDescent="0.25">
      <c r="A370">
        <v>1260</v>
      </c>
      <c r="B370">
        <v>1</v>
      </c>
      <c r="C370">
        <v>1</v>
      </c>
      <c r="D370" t="s">
        <v>709</v>
      </c>
      <c r="E370" t="s">
        <v>16</v>
      </c>
      <c r="F370">
        <v>45</v>
      </c>
      <c r="G370">
        <v>0</v>
      </c>
      <c r="H370">
        <v>1</v>
      </c>
      <c r="I370" t="s">
        <v>710</v>
      </c>
      <c r="J370" s="9">
        <v>59.4</v>
      </c>
      <c r="K370" t="s">
        <v>33</v>
      </c>
      <c r="L370">
        <v>1</v>
      </c>
    </row>
    <row r="371" spans="1:12" x14ac:dyDescent="0.25">
      <c r="A371">
        <v>1261</v>
      </c>
      <c r="B371">
        <v>0</v>
      </c>
      <c r="C371">
        <v>2</v>
      </c>
      <c r="D371" t="s">
        <v>711</v>
      </c>
      <c r="E371" t="s">
        <v>12</v>
      </c>
      <c r="F371">
        <v>29</v>
      </c>
      <c r="G371">
        <v>0</v>
      </c>
      <c r="H371">
        <v>0</v>
      </c>
      <c r="I371" t="s">
        <v>712</v>
      </c>
      <c r="J371" s="9">
        <v>138583</v>
      </c>
      <c r="K371" t="s">
        <v>33</v>
      </c>
      <c r="L371">
        <v>1</v>
      </c>
    </row>
    <row r="372" spans="1:12" x14ac:dyDescent="0.25">
      <c r="A372">
        <v>1262</v>
      </c>
      <c r="B372">
        <v>0</v>
      </c>
      <c r="C372">
        <v>2</v>
      </c>
      <c r="D372" t="s">
        <v>713</v>
      </c>
      <c r="E372" t="s">
        <v>12</v>
      </c>
      <c r="F372">
        <v>21</v>
      </c>
      <c r="G372">
        <v>1</v>
      </c>
      <c r="H372">
        <v>0</v>
      </c>
      <c r="I372" t="s">
        <v>714</v>
      </c>
      <c r="J372" s="9">
        <v>11.5</v>
      </c>
      <c r="K372" t="s">
        <v>18</v>
      </c>
      <c r="L372">
        <v>1</v>
      </c>
    </row>
    <row r="373" spans="1:12" x14ac:dyDescent="0.25">
      <c r="A373">
        <v>1263</v>
      </c>
      <c r="B373">
        <v>1</v>
      </c>
      <c r="C373">
        <v>1</v>
      </c>
      <c r="D373" t="s">
        <v>715</v>
      </c>
      <c r="E373" t="s">
        <v>16</v>
      </c>
      <c r="F373">
        <v>31</v>
      </c>
      <c r="G373">
        <v>0</v>
      </c>
      <c r="H373">
        <v>0</v>
      </c>
      <c r="I373" t="s">
        <v>396</v>
      </c>
      <c r="J373" s="9">
        <v>134.5</v>
      </c>
      <c r="K373" t="s">
        <v>33</v>
      </c>
      <c r="L373">
        <v>1</v>
      </c>
    </row>
    <row r="374" spans="1:12" x14ac:dyDescent="0.25">
      <c r="A374">
        <v>1264</v>
      </c>
      <c r="B374">
        <v>0</v>
      </c>
      <c r="C374">
        <v>1</v>
      </c>
      <c r="D374" t="s">
        <v>716</v>
      </c>
      <c r="E374" t="s">
        <v>12</v>
      </c>
      <c r="F374">
        <v>49</v>
      </c>
      <c r="G374">
        <v>0</v>
      </c>
      <c r="H374">
        <v>0</v>
      </c>
      <c r="I374" t="s">
        <v>717</v>
      </c>
      <c r="J374" s="9">
        <v>0</v>
      </c>
      <c r="K374" t="s">
        <v>18</v>
      </c>
      <c r="L374">
        <v>1</v>
      </c>
    </row>
    <row r="375" spans="1:12" x14ac:dyDescent="0.25">
      <c r="A375">
        <v>1265</v>
      </c>
      <c r="B375">
        <v>0</v>
      </c>
      <c r="C375">
        <v>2</v>
      </c>
      <c r="D375" t="s">
        <v>718</v>
      </c>
      <c r="E375" t="s">
        <v>12</v>
      </c>
      <c r="F375">
        <v>44</v>
      </c>
      <c r="G375">
        <v>0</v>
      </c>
      <c r="H375">
        <v>0</v>
      </c>
      <c r="I375" t="s">
        <v>719</v>
      </c>
      <c r="J375" s="9">
        <v>13</v>
      </c>
      <c r="K375" t="s">
        <v>18</v>
      </c>
      <c r="L375">
        <v>1</v>
      </c>
    </row>
    <row r="376" spans="1:12" x14ac:dyDescent="0.25">
      <c r="A376">
        <v>1266</v>
      </c>
      <c r="B376">
        <v>1</v>
      </c>
      <c r="C376">
        <v>1</v>
      </c>
      <c r="D376" t="s">
        <v>720</v>
      </c>
      <c r="E376" t="s">
        <v>16</v>
      </c>
      <c r="F376">
        <v>54</v>
      </c>
      <c r="G376">
        <v>1</v>
      </c>
      <c r="H376">
        <v>1</v>
      </c>
      <c r="I376" t="s">
        <v>575</v>
      </c>
      <c r="J376" s="9">
        <v>37</v>
      </c>
      <c r="K376" t="s">
        <v>18</v>
      </c>
      <c r="L376">
        <v>1</v>
      </c>
    </row>
    <row r="377" spans="1:12" x14ac:dyDescent="0.25">
      <c r="A377">
        <v>1267</v>
      </c>
      <c r="B377">
        <v>1</v>
      </c>
      <c r="C377">
        <v>1</v>
      </c>
      <c r="D377" t="s">
        <v>721</v>
      </c>
      <c r="E377" t="s">
        <v>16</v>
      </c>
      <c r="F377">
        <v>45</v>
      </c>
      <c r="G377">
        <v>0</v>
      </c>
      <c r="H377">
        <v>0</v>
      </c>
      <c r="I377" t="s">
        <v>65</v>
      </c>
      <c r="J377" s="9">
        <v>50</v>
      </c>
      <c r="K377" t="s">
        <v>33</v>
      </c>
      <c r="L377">
        <v>1</v>
      </c>
    </row>
    <row r="378" spans="1:12" x14ac:dyDescent="0.25">
      <c r="A378">
        <v>1268</v>
      </c>
      <c r="B378">
        <v>1</v>
      </c>
      <c r="C378">
        <v>3</v>
      </c>
      <c r="D378" t="s">
        <v>722</v>
      </c>
      <c r="E378" t="s">
        <v>16</v>
      </c>
      <c r="F378">
        <v>22</v>
      </c>
      <c r="G378">
        <v>2</v>
      </c>
      <c r="H378">
        <v>0</v>
      </c>
      <c r="I378" t="s">
        <v>723</v>
      </c>
      <c r="J378" s="9">
        <v>86625</v>
      </c>
      <c r="K378" t="s">
        <v>18</v>
      </c>
      <c r="L378">
        <v>1</v>
      </c>
    </row>
    <row r="379" spans="1:12" x14ac:dyDescent="0.25">
      <c r="A379">
        <v>1269</v>
      </c>
      <c r="B379">
        <v>0</v>
      </c>
      <c r="C379">
        <v>2</v>
      </c>
      <c r="D379" t="s">
        <v>724</v>
      </c>
      <c r="E379" t="s">
        <v>12</v>
      </c>
      <c r="F379">
        <v>21</v>
      </c>
      <c r="G379">
        <v>0</v>
      </c>
      <c r="H379">
        <v>0</v>
      </c>
      <c r="I379" t="s">
        <v>725</v>
      </c>
      <c r="J379" s="9">
        <v>11.5</v>
      </c>
      <c r="K379" t="s">
        <v>18</v>
      </c>
      <c r="L379">
        <v>1</v>
      </c>
    </row>
    <row r="380" spans="1:12" x14ac:dyDescent="0.25">
      <c r="A380">
        <v>1270</v>
      </c>
      <c r="B380">
        <v>0</v>
      </c>
      <c r="C380">
        <v>1</v>
      </c>
      <c r="D380" t="s">
        <v>726</v>
      </c>
      <c r="E380" t="s">
        <v>12</v>
      </c>
      <c r="F380">
        <v>55</v>
      </c>
      <c r="G380">
        <v>0</v>
      </c>
      <c r="H380">
        <v>0</v>
      </c>
      <c r="I380" t="s">
        <v>727</v>
      </c>
      <c r="J380" s="9">
        <v>50</v>
      </c>
      <c r="K380" t="s">
        <v>18</v>
      </c>
      <c r="L380">
        <v>1</v>
      </c>
    </row>
    <row r="381" spans="1:12" x14ac:dyDescent="0.25">
      <c r="A381">
        <v>1271</v>
      </c>
      <c r="B381">
        <v>0</v>
      </c>
      <c r="C381">
        <v>3</v>
      </c>
      <c r="D381" t="s">
        <v>728</v>
      </c>
      <c r="E381" t="s">
        <v>12</v>
      </c>
      <c r="F381">
        <v>5</v>
      </c>
      <c r="G381">
        <v>4</v>
      </c>
      <c r="H381">
        <v>2</v>
      </c>
      <c r="I381" t="s">
        <v>317</v>
      </c>
      <c r="J381" s="9">
        <v>313875</v>
      </c>
      <c r="K381" t="s">
        <v>18</v>
      </c>
      <c r="L381">
        <v>1</v>
      </c>
    </row>
    <row r="382" spans="1:12" x14ac:dyDescent="0.25">
      <c r="A382">
        <v>1272</v>
      </c>
      <c r="B382">
        <v>0</v>
      </c>
      <c r="C382">
        <v>3</v>
      </c>
      <c r="D382" t="s">
        <v>729</v>
      </c>
      <c r="E382" t="s">
        <v>12</v>
      </c>
      <c r="F382">
        <v>31</v>
      </c>
      <c r="G382">
        <v>0</v>
      </c>
      <c r="H382">
        <v>0</v>
      </c>
      <c r="I382" t="s">
        <v>730</v>
      </c>
      <c r="J382" s="9">
        <v>7.75</v>
      </c>
      <c r="K382" t="s">
        <v>14</v>
      </c>
      <c r="L382">
        <v>1</v>
      </c>
    </row>
    <row r="383" spans="1:12" x14ac:dyDescent="0.25">
      <c r="A383">
        <v>1273</v>
      </c>
      <c r="B383">
        <v>0</v>
      </c>
      <c r="C383">
        <v>3</v>
      </c>
      <c r="D383" t="s">
        <v>731</v>
      </c>
      <c r="E383" t="s">
        <v>12</v>
      </c>
      <c r="F383">
        <v>26</v>
      </c>
      <c r="G383">
        <v>0</v>
      </c>
      <c r="H383">
        <v>0</v>
      </c>
      <c r="I383" t="s">
        <v>732</v>
      </c>
      <c r="J383" s="9">
        <v>78792</v>
      </c>
      <c r="K383" t="s">
        <v>14</v>
      </c>
      <c r="L383">
        <v>1</v>
      </c>
    </row>
    <row r="384" spans="1:12" x14ac:dyDescent="0.25">
      <c r="A384">
        <v>1274</v>
      </c>
      <c r="B384">
        <v>1</v>
      </c>
      <c r="C384">
        <v>3</v>
      </c>
      <c r="D384" t="s">
        <v>733</v>
      </c>
      <c r="E384" t="s">
        <v>16</v>
      </c>
      <c r="F384">
        <v>41</v>
      </c>
      <c r="G384">
        <v>0</v>
      </c>
      <c r="H384">
        <v>0</v>
      </c>
      <c r="I384" t="s">
        <v>734</v>
      </c>
      <c r="J384" s="9">
        <v>14.5</v>
      </c>
      <c r="K384" t="s">
        <v>18</v>
      </c>
      <c r="L384">
        <v>1</v>
      </c>
    </row>
    <row r="385" spans="1:12" x14ac:dyDescent="0.25">
      <c r="A385">
        <v>1275</v>
      </c>
      <c r="B385">
        <v>1</v>
      </c>
      <c r="C385">
        <v>3</v>
      </c>
      <c r="D385" t="s">
        <v>735</v>
      </c>
      <c r="E385" t="s">
        <v>16</v>
      </c>
      <c r="F385">
        <v>19</v>
      </c>
      <c r="G385">
        <v>1</v>
      </c>
      <c r="H385">
        <v>0</v>
      </c>
      <c r="I385" t="s">
        <v>736</v>
      </c>
      <c r="J385" s="9">
        <v>16.100000000000001</v>
      </c>
      <c r="K385" t="s">
        <v>18</v>
      </c>
      <c r="L385">
        <v>1</v>
      </c>
    </row>
    <row r="386" spans="1:12" x14ac:dyDescent="0.25">
      <c r="A386">
        <v>1276</v>
      </c>
      <c r="B386">
        <v>0</v>
      </c>
      <c r="C386">
        <v>2</v>
      </c>
      <c r="D386" t="s">
        <v>737</v>
      </c>
      <c r="E386" t="s">
        <v>12</v>
      </c>
      <c r="F386">
        <v>26</v>
      </c>
      <c r="G386">
        <v>0</v>
      </c>
      <c r="H386">
        <v>0</v>
      </c>
      <c r="I386" t="s">
        <v>738</v>
      </c>
      <c r="J386" s="9">
        <v>12875</v>
      </c>
      <c r="K386" t="s">
        <v>18</v>
      </c>
      <c r="L386">
        <v>1</v>
      </c>
    </row>
    <row r="387" spans="1:12" x14ac:dyDescent="0.25">
      <c r="A387">
        <v>1277</v>
      </c>
      <c r="B387">
        <v>1</v>
      </c>
      <c r="C387">
        <v>2</v>
      </c>
      <c r="D387" t="s">
        <v>739</v>
      </c>
      <c r="E387" t="s">
        <v>16</v>
      </c>
      <c r="F387">
        <v>24</v>
      </c>
      <c r="G387">
        <v>1</v>
      </c>
      <c r="H387">
        <v>2</v>
      </c>
      <c r="I387" t="s">
        <v>461</v>
      </c>
      <c r="J387" s="9">
        <v>65</v>
      </c>
      <c r="K387" t="s">
        <v>18</v>
      </c>
      <c r="L387">
        <v>1</v>
      </c>
    </row>
    <row r="388" spans="1:12" x14ac:dyDescent="0.25">
      <c r="A388">
        <v>1278</v>
      </c>
      <c r="B388">
        <v>0</v>
      </c>
      <c r="C388">
        <v>3</v>
      </c>
      <c r="D388" t="s">
        <v>740</v>
      </c>
      <c r="E388" t="s">
        <v>12</v>
      </c>
      <c r="F388">
        <v>24</v>
      </c>
      <c r="G388">
        <v>0</v>
      </c>
      <c r="H388">
        <v>0</v>
      </c>
      <c r="I388" t="s">
        <v>741</v>
      </c>
      <c r="J388" s="9">
        <v>7775</v>
      </c>
      <c r="K388" t="s">
        <v>18</v>
      </c>
      <c r="L388">
        <v>1</v>
      </c>
    </row>
    <row r="389" spans="1:12" x14ac:dyDescent="0.25">
      <c r="A389">
        <v>1279</v>
      </c>
      <c r="B389">
        <v>0</v>
      </c>
      <c r="C389">
        <v>2</v>
      </c>
      <c r="D389" t="s">
        <v>742</v>
      </c>
      <c r="E389" t="s">
        <v>12</v>
      </c>
      <c r="F389">
        <v>57</v>
      </c>
      <c r="G389">
        <v>0</v>
      </c>
      <c r="H389">
        <v>0</v>
      </c>
      <c r="I389" t="s">
        <v>743</v>
      </c>
      <c r="J389" s="9">
        <v>13</v>
      </c>
      <c r="K389" t="s">
        <v>18</v>
      </c>
      <c r="L389">
        <v>1</v>
      </c>
    </row>
    <row r="390" spans="1:12" x14ac:dyDescent="0.25">
      <c r="A390">
        <v>1280</v>
      </c>
      <c r="B390">
        <v>0</v>
      </c>
      <c r="C390">
        <v>3</v>
      </c>
      <c r="D390" t="s">
        <v>744</v>
      </c>
      <c r="E390" t="s">
        <v>12</v>
      </c>
      <c r="F390">
        <v>21</v>
      </c>
      <c r="G390">
        <v>0</v>
      </c>
      <c r="H390">
        <v>0</v>
      </c>
      <c r="I390" t="s">
        <v>745</v>
      </c>
      <c r="J390" s="9">
        <v>7.75</v>
      </c>
      <c r="K390" t="s">
        <v>14</v>
      </c>
      <c r="L390">
        <v>1</v>
      </c>
    </row>
    <row r="391" spans="1:12" x14ac:dyDescent="0.25">
      <c r="A391">
        <v>1281</v>
      </c>
      <c r="B391">
        <v>0</v>
      </c>
      <c r="C391">
        <v>3</v>
      </c>
      <c r="D391" t="s">
        <v>746</v>
      </c>
      <c r="E391" t="s">
        <v>12</v>
      </c>
      <c r="F391">
        <v>6</v>
      </c>
      <c r="G391">
        <v>3</v>
      </c>
      <c r="H391">
        <v>1</v>
      </c>
      <c r="I391" t="s">
        <v>747</v>
      </c>
      <c r="J391" s="9">
        <v>21075</v>
      </c>
      <c r="K391" t="s">
        <v>18</v>
      </c>
      <c r="L391">
        <v>1</v>
      </c>
    </row>
    <row r="392" spans="1:12" x14ac:dyDescent="0.25">
      <c r="A392">
        <v>1282</v>
      </c>
      <c r="B392">
        <v>0</v>
      </c>
      <c r="C392">
        <v>1</v>
      </c>
      <c r="D392" t="s">
        <v>748</v>
      </c>
      <c r="E392" t="s">
        <v>12</v>
      </c>
      <c r="F392">
        <v>23</v>
      </c>
      <c r="G392">
        <v>0</v>
      </c>
      <c r="H392">
        <v>0</v>
      </c>
      <c r="I392" t="s">
        <v>602</v>
      </c>
      <c r="J392" s="9">
        <v>93.5</v>
      </c>
      <c r="K392" t="s">
        <v>18</v>
      </c>
      <c r="L392">
        <v>1</v>
      </c>
    </row>
    <row r="393" spans="1:12" x14ac:dyDescent="0.25">
      <c r="A393">
        <v>1283</v>
      </c>
      <c r="B393">
        <v>1</v>
      </c>
      <c r="C393">
        <v>1</v>
      </c>
      <c r="D393" t="s">
        <v>749</v>
      </c>
      <c r="E393" t="s">
        <v>16</v>
      </c>
      <c r="F393">
        <v>51</v>
      </c>
      <c r="G393">
        <v>0</v>
      </c>
      <c r="H393">
        <v>1</v>
      </c>
      <c r="I393" t="s">
        <v>750</v>
      </c>
      <c r="J393" s="9">
        <v>39.4</v>
      </c>
      <c r="K393" t="s">
        <v>18</v>
      </c>
      <c r="L393">
        <v>1</v>
      </c>
    </row>
    <row r="394" spans="1:12" x14ac:dyDescent="0.25">
      <c r="A394">
        <v>1284</v>
      </c>
      <c r="B394">
        <v>0</v>
      </c>
      <c r="C394">
        <v>3</v>
      </c>
      <c r="D394" t="s">
        <v>751</v>
      </c>
      <c r="E394" t="s">
        <v>12</v>
      </c>
      <c r="F394">
        <v>13</v>
      </c>
      <c r="G394">
        <v>0</v>
      </c>
      <c r="H394">
        <v>2</v>
      </c>
      <c r="I394" t="s">
        <v>752</v>
      </c>
      <c r="J394" s="9">
        <v>20.25</v>
      </c>
      <c r="K394" t="s">
        <v>18</v>
      </c>
      <c r="L394">
        <v>1</v>
      </c>
    </row>
    <row r="395" spans="1:12" x14ac:dyDescent="0.25">
      <c r="A395">
        <v>1285</v>
      </c>
      <c r="B395">
        <v>0</v>
      </c>
      <c r="C395">
        <v>2</v>
      </c>
      <c r="D395" t="s">
        <v>753</v>
      </c>
      <c r="E395" t="s">
        <v>12</v>
      </c>
      <c r="F395">
        <v>47</v>
      </c>
      <c r="G395">
        <v>0</v>
      </c>
      <c r="H395">
        <v>0</v>
      </c>
      <c r="I395" t="s">
        <v>754</v>
      </c>
      <c r="J395" s="9">
        <v>10.5</v>
      </c>
      <c r="K395" t="s">
        <v>18</v>
      </c>
      <c r="L395">
        <v>1</v>
      </c>
    </row>
    <row r="396" spans="1:12" x14ac:dyDescent="0.25">
      <c r="A396">
        <v>1286</v>
      </c>
      <c r="B396">
        <v>0</v>
      </c>
      <c r="C396">
        <v>3</v>
      </c>
      <c r="D396" t="s">
        <v>755</v>
      </c>
      <c r="E396" t="s">
        <v>12</v>
      </c>
      <c r="F396">
        <v>29</v>
      </c>
      <c r="G396">
        <v>3</v>
      </c>
      <c r="H396">
        <v>1</v>
      </c>
      <c r="I396" t="s">
        <v>338</v>
      </c>
      <c r="J396" s="9">
        <v>22025</v>
      </c>
      <c r="K396" t="s">
        <v>18</v>
      </c>
      <c r="L396">
        <v>1</v>
      </c>
    </row>
    <row r="397" spans="1:12" x14ac:dyDescent="0.25">
      <c r="A397">
        <v>1287</v>
      </c>
      <c r="B397">
        <v>1</v>
      </c>
      <c r="C397">
        <v>1</v>
      </c>
      <c r="D397" t="s">
        <v>756</v>
      </c>
      <c r="E397" t="s">
        <v>16</v>
      </c>
      <c r="F397">
        <v>18</v>
      </c>
      <c r="G397">
        <v>1</v>
      </c>
      <c r="H397">
        <v>0</v>
      </c>
      <c r="I397" t="s">
        <v>117</v>
      </c>
      <c r="J397" s="9">
        <v>60</v>
      </c>
      <c r="K397" t="s">
        <v>18</v>
      </c>
      <c r="L397">
        <v>1</v>
      </c>
    </row>
    <row r="398" spans="1:12" x14ac:dyDescent="0.25">
      <c r="A398">
        <v>1288</v>
      </c>
      <c r="B398">
        <v>0</v>
      </c>
      <c r="C398">
        <v>3</v>
      </c>
      <c r="D398" t="s">
        <v>757</v>
      </c>
      <c r="E398" t="s">
        <v>12</v>
      </c>
      <c r="F398">
        <v>24</v>
      </c>
      <c r="G398">
        <v>0</v>
      </c>
      <c r="H398">
        <v>0</v>
      </c>
      <c r="I398" t="s">
        <v>758</v>
      </c>
      <c r="J398" s="9">
        <v>7.25</v>
      </c>
      <c r="K398" t="s">
        <v>14</v>
      </c>
      <c r="L398">
        <v>1</v>
      </c>
    </row>
    <row r="399" spans="1:12" x14ac:dyDescent="0.25">
      <c r="A399">
        <v>1289</v>
      </c>
      <c r="B399">
        <v>1</v>
      </c>
      <c r="C399">
        <v>1</v>
      </c>
      <c r="D399" t="s">
        <v>759</v>
      </c>
      <c r="E399" t="s">
        <v>16</v>
      </c>
      <c r="F399">
        <v>48</v>
      </c>
      <c r="G399">
        <v>1</v>
      </c>
      <c r="H399">
        <v>1</v>
      </c>
      <c r="I399" t="s">
        <v>760</v>
      </c>
      <c r="J399" s="9">
        <v>79.2</v>
      </c>
      <c r="K399" t="s">
        <v>33</v>
      </c>
      <c r="L399">
        <v>1</v>
      </c>
    </row>
    <row r="400" spans="1:12" x14ac:dyDescent="0.25">
      <c r="A400">
        <v>1290</v>
      </c>
      <c r="B400">
        <v>0</v>
      </c>
      <c r="C400">
        <v>3</v>
      </c>
      <c r="D400" t="s">
        <v>761</v>
      </c>
      <c r="E400" t="s">
        <v>12</v>
      </c>
      <c r="F400">
        <v>22</v>
      </c>
      <c r="G400">
        <v>0</v>
      </c>
      <c r="H400">
        <v>0</v>
      </c>
      <c r="I400" t="s">
        <v>762</v>
      </c>
      <c r="J400" s="9">
        <v>7775</v>
      </c>
      <c r="K400" t="s">
        <v>18</v>
      </c>
      <c r="L400">
        <v>1</v>
      </c>
    </row>
    <row r="401" spans="1:12" x14ac:dyDescent="0.25">
      <c r="A401">
        <v>1291</v>
      </c>
      <c r="B401">
        <v>0</v>
      </c>
      <c r="C401">
        <v>3</v>
      </c>
      <c r="D401" t="s">
        <v>763</v>
      </c>
      <c r="E401" t="s">
        <v>12</v>
      </c>
      <c r="F401">
        <v>31</v>
      </c>
      <c r="G401">
        <v>0</v>
      </c>
      <c r="H401">
        <v>0</v>
      </c>
      <c r="I401" t="s">
        <v>764</v>
      </c>
      <c r="J401" s="9">
        <v>77333</v>
      </c>
      <c r="K401" t="s">
        <v>14</v>
      </c>
      <c r="L401">
        <v>1</v>
      </c>
    </row>
    <row r="402" spans="1:12" x14ac:dyDescent="0.25">
      <c r="A402">
        <v>1292</v>
      </c>
      <c r="B402">
        <v>1</v>
      </c>
      <c r="C402">
        <v>1</v>
      </c>
      <c r="D402" t="s">
        <v>765</v>
      </c>
      <c r="E402" t="s">
        <v>16</v>
      </c>
      <c r="F402">
        <v>30</v>
      </c>
      <c r="G402">
        <v>0</v>
      </c>
      <c r="H402">
        <v>0</v>
      </c>
      <c r="I402" t="s">
        <v>436</v>
      </c>
      <c r="J402" s="9">
        <v>30</v>
      </c>
      <c r="K402" t="s">
        <v>18</v>
      </c>
      <c r="L402">
        <v>1</v>
      </c>
    </row>
    <row r="403" spans="1:12" x14ac:dyDescent="0.25">
      <c r="A403">
        <v>1293</v>
      </c>
      <c r="B403">
        <v>0</v>
      </c>
      <c r="C403">
        <v>2</v>
      </c>
      <c r="D403" t="s">
        <v>766</v>
      </c>
      <c r="E403" t="s">
        <v>12</v>
      </c>
      <c r="F403">
        <v>38</v>
      </c>
      <c r="G403">
        <v>1</v>
      </c>
      <c r="H403">
        <v>0</v>
      </c>
      <c r="I403" t="s">
        <v>767</v>
      </c>
      <c r="J403" s="9">
        <v>21</v>
      </c>
      <c r="K403" t="s">
        <v>18</v>
      </c>
      <c r="L403">
        <v>1</v>
      </c>
    </row>
    <row r="404" spans="1:12" x14ac:dyDescent="0.25">
      <c r="A404">
        <v>1294</v>
      </c>
      <c r="B404">
        <v>1</v>
      </c>
      <c r="C404">
        <v>1</v>
      </c>
      <c r="D404" t="s">
        <v>768</v>
      </c>
      <c r="E404" t="s">
        <v>16</v>
      </c>
      <c r="F404">
        <v>22</v>
      </c>
      <c r="G404">
        <v>0</v>
      </c>
      <c r="H404">
        <v>1</v>
      </c>
      <c r="I404" t="s">
        <v>710</v>
      </c>
      <c r="J404" s="9">
        <v>59.4</v>
      </c>
      <c r="K404" t="s">
        <v>33</v>
      </c>
      <c r="L404">
        <v>1</v>
      </c>
    </row>
    <row r="405" spans="1:12" x14ac:dyDescent="0.25">
      <c r="A405">
        <v>1295</v>
      </c>
      <c r="B405">
        <v>0</v>
      </c>
      <c r="C405">
        <v>1</v>
      </c>
      <c r="D405" t="s">
        <v>769</v>
      </c>
      <c r="E405" t="s">
        <v>12</v>
      </c>
      <c r="F405">
        <v>17</v>
      </c>
      <c r="G405">
        <v>0</v>
      </c>
      <c r="H405">
        <v>0</v>
      </c>
      <c r="I405" t="s">
        <v>770</v>
      </c>
      <c r="J405" s="9">
        <v>47.1</v>
      </c>
      <c r="K405" t="s">
        <v>18</v>
      </c>
      <c r="L405">
        <v>1</v>
      </c>
    </row>
    <row r="406" spans="1:12" x14ac:dyDescent="0.25">
      <c r="A406">
        <v>1296</v>
      </c>
      <c r="B406">
        <v>0</v>
      </c>
      <c r="C406">
        <v>1</v>
      </c>
      <c r="D406" t="s">
        <v>771</v>
      </c>
      <c r="E406" t="s">
        <v>12</v>
      </c>
      <c r="F406">
        <v>43</v>
      </c>
      <c r="G406">
        <v>1</v>
      </c>
      <c r="H406">
        <v>0</v>
      </c>
      <c r="I406" t="s">
        <v>772</v>
      </c>
      <c r="J406" s="9">
        <v>33</v>
      </c>
      <c r="K406" t="s">
        <v>33</v>
      </c>
      <c r="L406">
        <v>1</v>
      </c>
    </row>
    <row r="407" spans="1:12" x14ac:dyDescent="0.25">
      <c r="A407">
        <v>1297</v>
      </c>
      <c r="B407">
        <v>0</v>
      </c>
      <c r="C407">
        <v>2</v>
      </c>
      <c r="D407" t="s">
        <v>773</v>
      </c>
      <c r="E407" t="s">
        <v>12</v>
      </c>
      <c r="F407">
        <v>20</v>
      </c>
      <c r="G407">
        <v>0</v>
      </c>
      <c r="H407">
        <v>0</v>
      </c>
      <c r="I407" t="s">
        <v>774</v>
      </c>
      <c r="J407" s="9">
        <v>138625</v>
      </c>
      <c r="K407" t="s">
        <v>33</v>
      </c>
      <c r="L407">
        <v>1</v>
      </c>
    </row>
    <row r="408" spans="1:12" x14ac:dyDescent="0.25">
      <c r="A408">
        <v>1298</v>
      </c>
      <c r="B408">
        <v>0</v>
      </c>
      <c r="C408">
        <v>2</v>
      </c>
      <c r="D408" t="s">
        <v>775</v>
      </c>
      <c r="E408" t="s">
        <v>12</v>
      </c>
      <c r="F408">
        <v>23</v>
      </c>
      <c r="G408">
        <v>1</v>
      </c>
      <c r="H408">
        <v>0</v>
      </c>
      <c r="I408" t="s">
        <v>776</v>
      </c>
      <c r="J408" s="9">
        <v>10.5</v>
      </c>
      <c r="K408" t="s">
        <v>18</v>
      </c>
      <c r="L408">
        <v>1</v>
      </c>
    </row>
    <row r="409" spans="1:12" x14ac:dyDescent="0.25">
      <c r="A409">
        <v>1299</v>
      </c>
      <c r="B409">
        <v>0</v>
      </c>
      <c r="C409">
        <v>1</v>
      </c>
      <c r="D409" t="s">
        <v>777</v>
      </c>
      <c r="E409" t="s">
        <v>12</v>
      </c>
      <c r="F409">
        <v>50</v>
      </c>
      <c r="G409">
        <v>1</v>
      </c>
      <c r="H409">
        <v>1</v>
      </c>
      <c r="I409" t="s">
        <v>162</v>
      </c>
      <c r="J409" s="9">
        <v>41</v>
      </c>
      <c r="K409" t="s">
        <v>33</v>
      </c>
      <c r="L409">
        <v>1</v>
      </c>
    </row>
    <row r="410" spans="1:12" x14ac:dyDescent="0.25">
      <c r="A410">
        <v>1300</v>
      </c>
      <c r="B410">
        <v>1</v>
      </c>
      <c r="C410">
        <v>3</v>
      </c>
      <c r="D410" t="s">
        <v>778</v>
      </c>
      <c r="E410" t="s">
        <v>16</v>
      </c>
      <c r="F410">
        <v>38</v>
      </c>
      <c r="G410">
        <v>0</v>
      </c>
      <c r="H410">
        <v>0</v>
      </c>
      <c r="I410" t="s">
        <v>779</v>
      </c>
      <c r="J410" s="9">
        <v>77208</v>
      </c>
      <c r="K410" t="s">
        <v>14</v>
      </c>
      <c r="L410">
        <v>1</v>
      </c>
    </row>
    <row r="411" spans="1:12" x14ac:dyDescent="0.25">
      <c r="A411">
        <v>1301</v>
      </c>
      <c r="B411">
        <v>1</v>
      </c>
      <c r="C411">
        <v>3</v>
      </c>
      <c r="D411" t="s">
        <v>780</v>
      </c>
      <c r="E411" t="s">
        <v>16</v>
      </c>
      <c r="F411">
        <v>3</v>
      </c>
      <c r="G411">
        <v>1</v>
      </c>
      <c r="H411">
        <v>1</v>
      </c>
      <c r="I411" t="s">
        <v>326</v>
      </c>
      <c r="J411" s="9">
        <v>13775</v>
      </c>
      <c r="K411" t="s">
        <v>18</v>
      </c>
      <c r="L411">
        <v>1</v>
      </c>
    </row>
    <row r="412" spans="1:12" x14ac:dyDescent="0.25">
      <c r="A412">
        <v>1302</v>
      </c>
      <c r="B412">
        <v>1</v>
      </c>
      <c r="C412">
        <v>3</v>
      </c>
      <c r="D412" t="s">
        <v>781</v>
      </c>
      <c r="E412" t="s">
        <v>16</v>
      </c>
      <c r="F412">
        <v>48</v>
      </c>
      <c r="G412">
        <v>0</v>
      </c>
      <c r="H412">
        <v>0</v>
      </c>
      <c r="I412" t="s">
        <v>782</v>
      </c>
      <c r="J412" s="9">
        <v>7.75</v>
      </c>
      <c r="K412" t="s">
        <v>14</v>
      </c>
      <c r="L412">
        <v>1</v>
      </c>
    </row>
    <row r="413" spans="1:12" x14ac:dyDescent="0.25">
      <c r="A413">
        <v>1303</v>
      </c>
      <c r="B413">
        <v>1</v>
      </c>
      <c r="C413">
        <v>1</v>
      </c>
      <c r="D413" t="s">
        <v>783</v>
      </c>
      <c r="E413" t="s">
        <v>16</v>
      </c>
      <c r="F413">
        <v>37</v>
      </c>
      <c r="G413">
        <v>1</v>
      </c>
      <c r="H413">
        <v>0</v>
      </c>
      <c r="I413" t="s">
        <v>784</v>
      </c>
      <c r="J413" s="9">
        <v>90</v>
      </c>
      <c r="K413" t="s">
        <v>14</v>
      </c>
      <c r="L413">
        <v>1</v>
      </c>
    </row>
    <row r="414" spans="1:12" x14ac:dyDescent="0.25">
      <c r="A414">
        <v>1304</v>
      </c>
      <c r="B414">
        <v>1</v>
      </c>
      <c r="C414">
        <v>3</v>
      </c>
      <c r="D414" t="s">
        <v>785</v>
      </c>
      <c r="E414" t="s">
        <v>16</v>
      </c>
      <c r="F414">
        <v>28</v>
      </c>
      <c r="G414">
        <v>0</v>
      </c>
      <c r="H414">
        <v>0</v>
      </c>
      <c r="I414" t="s">
        <v>786</v>
      </c>
      <c r="J414" s="9">
        <v>7775</v>
      </c>
      <c r="K414" t="s">
        <v>18</v>
      </c>
      <c r="L414">
        <v>1</v>
      </c>
    </row>
    <row r="415" spans="1:12" x14ac:dyDescent="0.25">
      <c r="A415">
        <v>1305</v>
      </c>
      <c r="B415">
        <v>0</v>
      </c>
      <c r="C415">
        <v>3</v>
      </c>
      <c r="D415" t="s">
        <v>787</v>
      </c>
      <c r="E415" t="s">
        <v>12</v>
      </c>
      <c r="F415">
        <v>50</v>
      </c>
      <c r="G415">
        <v>0</v>
      </c>
      <c r="H415">
        <v>0</v>
      </c>
      <c r="I415" t="s">
        <v>788</v>
      </c>
      <c r="J415" s="9">
        <v>8.0500000000000007</v>
      </c>
      <c r="K415" t="s">
        <v>18</v>
      </c>
      <c r="L415">
        <v>1</v>
      </c>
    </row>
    <row r="416" spans="1:12" x14ac:dyDescent="0.25">
      <c r="A416">
        <v>1306</v>
      </c>
      <c r="B416">
        <v>1</v>
      </c>
      <c r="C416">
        <v>1</v>
      </c>
      <c r="D416" t="s">
        <v>789</v>
      </c>
      <c r="E416" t="s">
        <v>16</v>
      </c>
      <c r="F416">
        <v>39</v>
      </c>
      <c r="G416">
        <v>0</v>
      </c>
      <c r="H416">
        <v>0</v>
      </c>
      <c r="I416" t="s">
        <v>790</v>
      </c>
      <c r="J416" s="9">
        <v>108.9</v>
      </c>
      <c r="K416" t="s">
        <v>33</v>
      </c>
      <c r="L416">
        <v>1</v>
      </c>
    </row>
    <row r="417" spans="1:12" x14ac:dyDescent="0.25">
      <c r="A417">
        <v>1307</v>
      </c>
      <c r="B417">
        <v>0</v>
      </c>
      <c r="C417">
        <v>3</v>
      </c>
      <c r="D417" t="s">
        <v>791</v>
      </c>
      <c r="E417" t="s">
        <v>12</v>
      </c>
      <c r="F417">
        <v>38.5</v>
      </c>
      <c r="G417">
        <v>0</v>
      </c>
      <c r="H417">
        <v>0</v>
      </c>
      <c r="I417" t="s">
        <v>792</v>
      </c>
      <c r="J417" s="9">
        <v>7.25</v>
      </c>
      <c r="K417" t="s">
        <v>18</v>
      </c>
      <c r="L417">
        <v>1</v>
      </c>
    </row>
    <row r="418" spans="1:12" x14ac:dyDescent="0.25">
      <c r="A418">
        <v>1308</v>
      </c>
      <c r="B418">
        <v>0</v>
      </c>
      <c r="C418">
        <v>3</v>
      </c>
      <c r="D418" t="s">
        <v>793</v>
      </c>
      <c r="E418" t="s">
        <v>12</v>
      </c>
      <c r="F418">
        <v>30</v>
      </c>
      <c r="G418">
        <v>0</v>
      </c>
      <c r="H418">
        <v>0</v>
      </c>
      <c r="I418" t="s">
        <v>794</v>
      </c>
      <c r="J418" s="9">
        <v>8.0500000000000007</v>
      </c>
      <c r="K418" t="s">
        <v>18</v>
      </c>
      <c r="L418">
        <v>1</v>
      </c>
    </row>
    <row r="419" spans="1:12" x14ac:dyDescent="0.25">
      <c r="A419">
        <v>1309</v>
      </c>
      <c r="B419">
        <v>0</v>
      </c>
      <c r="C419">
        <v>3</v>
      </c>
      <c r="D419" t="s">
        <v>795</v>
      </c>
      <c r="E419" t="s">
        <v>12</v>
      </c>
      <c r="F419">
        <v>23</v>
      </c>
      <c r="G419">
        <v>1</v>
      </c>
      <c r="H419">
        <v>1</v>
      </c>
      <c r="I419" t="s">
        <v>796</v>
      </c>
      <c r="J419" s="9">
        <v>223583</v>
      </c>
      <c r="K419" t="s">
        <v>33</v>
      </c>
      <c r="L419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E96D-19E3-4C88-A036-3E55D56B8175}">
  <dimension ref="B5:I136"/>
  <sheetViews>
    <sheetView showGridLines="0" topLeftCell="A13" workbookViewId="0">
      <selection activeCell="B39" sqref="B39"/>
    </sheetView>
  </sheetViews>
  <sheetFormatPr baseColWidth="10" defaultRowHeight="15" x14ac:dyDescent="0.25"/>
  <cols>
    <col min="2" max="2" width="17.85546875" bestFit="1" customWidth="1"/>
    <col min="3" max="3" width="18.7109375" bestFit="1" customWidth="1"/>
    <col min="4" max="4" width="9.5703125" bestFit="1" customWidth="1"/>
    <col min="6" max="6" width="12.85546875" bestFit="1" customWidth="1"/>
  </cols>
  <sheetData>
    <row r="5" spans="2:3" x14ac:dyDescent="0.25">
      <c r="B5" s="1" t="s">
        <v>798</v>
      </c>
    </row>
    <row r="7" spans="2:3" x14ac:dyDescent="0.25">
      <c r="B7" t="s">
        <v>797</v>
      </c>
    </row>
    <row r="8" spans="2:3" x14ac:dyDescent="0.25">
      <c r="B8">
        <v>418</v>
      </c>
    </row>
    <row r="11" spans="2:3" x14ac:dyDescent="0.25">
      <c r="B11" s="1" t="s">
        <v>801</v>
      </c>
    </row>
    <row r="13" spans="2:3" x14ac:dyDescent="0.25">
      <c r="B13" s="2" t="s">
        <v>799</v>
      </c>
      <c r="C13" t="s">
        <v>797</v>
      </c>
    </row>
    <row r="14" spans="2:3" x14ac:dyDescent="0.25">
      <c r="B14" s="3" t="s">
        <v>18</v>
      </c>
      <c r="C14">
        <v>270</v>
      </c>
    </row>
    <row r="15" spans="2:3" x14ac:dyDescent="0.25">
      <c r="B15" s="3" t="s">
        <v>33</v>
      </c>
      <c r="C15">
        <v>102</v>
      </c>
    </row>
    <row r="16" spans="2:3" x14ac:dyDescent="0.25">
      <c r="B16" s="3" t="s">
        <v>14</v>
      </c>
      <c r="C16">
        <v>46</v>
      </c>
    </row>
    <row r="17" spans="2:9" x14ac:dyDescent="0.25">
      <c r="B17" s="3" t="s">
        <v>800</v>
      </c>
      <c r="C17">
        <v>418</v>
      </c>
    </row>
    <row r="21" spans="2:9" x14ac:dyDescent="0.25">
      <c r="B21" s="1" t="s">
        <v>805</v>
      </c>
    </row>
    <row r="23" spans="2:9" x14ac:dyDescent="0.25">
      <c r="B23" s="2" t="s">
        <v>799</v>
      </c>
      <c r="C23" t="s">
        <v>797</v>
      </c>
      <c r="E23">
        <v>1</v>
      </c>
      <c r="F23" s="6">
        <v>0</v>
      </c>
    </row>
    <row r="24" spans="2:9" x14ac:dyDescent="0.25">
      <c r="B24" s="3">
        <v>0</v>
      </c>
      <c r="C24">
        <v>266</v>
      </c>
      <c r="E24" s="7">
        <f>IFERROR(VLOOKUP(E23,$B$22:$C$28,2,0),0)</f>
        <v>152</v>
      </c>
      <c r="F24" s="7">
        <f>IFERROR(VLOOKUP(F23,$B$22:$C$28,2,0),0)</f>
        <v>266</v>
      </c>
      <c r="H24" s="4">
        <f>IFERROR(F24/$B$8,0)</f>
        <v>0.63636363636363635</v>
      </c>
      <c r="I24" t="s">
        <v>803</v>
      </c>
    </row>
    <row r="25" spans="2:9" x14ac:dyDescent="0.25">
      <c r="B25" s="3">
        <v>1</v>
      </c>
      <c r="C25">
        <v>152</v>
      </c>
      <c r="H25" s="4">
        <f>IFERROR(E24/$B$8,0)</f>
        <v>0.36363636363636365</v>
      </c>
      <c r="I25" t="s">
        <v>804</v>
      </c>
    </row>
    <row r="26" spans="2:9" x14ac:dyDescent="0.25">
      <c r="B26" s="3" t="s">
        <v>800</v>
      </c>
      <c r="C26">
        <v>418</v>
      </c>
    </row>
    <row r="30" spans="2:9" x14ac:dyDescent="0.25">
      <c r="B30" s="1" t="s">
        <v>806</v>
      </c>
    </row>
    <row r="32" spans="2:9" x14ac:dyDescent="0.25">
      <c r="B32" t="s">
        <v>807</v>
      </c>
    </row>
    <row r="33" spans="2:4" x14ac:dyDescent="0.25">
      <c r="B33" s="5">
        <v>31.19736842105263</v>
      </c>
    </row>
    <row r="36" spans="2:4" x14ac:dyDescent="0.25">
      <c r="B36" t="s">
        <v>808</v>
      </c>
    </row>
    <row r="38" spans="2:4" x14ac:dyDescent="0.25">
      <c r="B38" s="2" t="s">
        <v>799</v>
      </c>
      <c r="C38" t="s">
        <v>797</v>
      </c>
    </row>
    <row r="39" spans="2:4" x14ac:dyDescent="0.25">
      <c r="B39" s="3" t="s">
        <v>12</v>
      </c>
      <c r="C39">
        <v>266</v>
      </c>
    </row>
    <row r="40" spans="2:4" x14ac:dyDescent="0.25">
      <c r="B40" s="3" t="s">
        <v>16</v>
      </c>
      <c r="C40">
        <v>152</v>
      </c>
    </row>
    <row r="41" spans="2:4" x14ac:dyDescent="0.25">
      <c r="B41" s="3" t="s">
        <v>800</v>
      </c>
      <c r="C41">
        <v>418</v>
      </c>
    </row>
    <row r="44" spans="2:4" x14ac:dyDescent="0.25">
      <c r="B44" t="s">
        <v>809</v>
      </c>
    </row>
    <row r="46" spans="2:4" x14ac:dyDescent="0.25">
      <c r="B46" s="2" t="s">
        <v>799</v>
      </c>
      <c r="C46" t="s">
        <v>812</v>
      </c>
      <c r="D46" t="s">
        <v>811</v>
      </c>
    </row>
    <row r="47" spans="2:4" x14ac:dyDescent="0.25">
      <c r="B47" s="3">
        <v>3</v>
      </c>
      <c r="C47" s="10">
        <v>6562055.3541999981</v>
      </c>
      <c r="D47" s="5">
        <v>30239.886424884782</v>
      </c>
    </row>
    <row r="48" spans="2:4" x14ac:dyDescent="0.25">
      <c r="B48" s="3">
        <v>2</v>
      </c>
      <c r="C48" s="10">
        <v>1494236.9749</v>
      </c>
      <c r="D48" s="5">
        <v>16067.064246236559</v>
      </c>
    </row>
    <row r="49" spans="2:6" x14ac:dyDescent="0.25">
      <c r="B49" s="3">
        <v>1</v>
      </c>
      <c r="C49" s="10">
        <v>4979.6709999999994</v>
      </c>
      <c r="D49" s="5">
        <v>46.538981308411209</v>
      </c>
    </row>
    <row r="50" spans="2:6" x14ac:dyDescent="0.25">
      <c r="B50" s="3" t="s">
        <v>800</v>
      </c>
      <c r="C50" s="8">
        <v>8061272.000099997</v>
      </c>
      <c r="D50" s="8">
        <v>19331.58753021582</v>
      </c>
    </row>
    <row r="56" spans="2:6" x14ac:dyDescent="0.25">
      <c r="B56" s="2" t="s">
        <v>799</v>
      </c>
      <c r="C56" t="s">
        <v>797</v>
      </c>
      <c r="E56" t="str">
        <f>+B56</f>
        <v>Etiquetas de fila</v>
      </c>
      <c r="F56" t="str">
        <f>+C56</f>
        <v>Cuenta de ID Ticket</v>
      </c>
    </row>
    <row r="57" spans="2:6" x14ac:dyDescent="0.25">
      <c r="B57" s="3">
        <v>0.17</v>
      </c>
      <c r="C57">
        <v>1</v>
      </c>
      <c r="E57" s="11">
        <f t="shared" ref="E57:E120" si="0">+B57</f>
        <v>0.17</v>
      </c>
      <c r="F57">
        <f t="shared" ref="F57:F120" si="1">+C57</f>
        <v>1</v>
      </c>
    </row>
    <row r="58" spans="2:6" x14ac:dyDescent="0.25">
      <c r="B58" s="3">
        <v>0.33</v>
      </c>
      <c r="C58">
        <v>1</v>
      </c>
      <c r="E58" s="11">
        <f t="shared" si="0"/>
        <v>0.33</v>
      </c>
      <c r="F58">
        <f t="shared" si="1"/>
        <v>1</v>
      </c>
    </row>
    <row r="59" spans="2:6" x14ac:dyDescent="0.25">
      <c r="B59" s="3">
        <v>0.75</v>
      </c>
      <c r="C59">
        <v>1</v>
      </c>
      <c r="E59" s="11">
        <f t="shared" si="0"/>
        <v>0.75</v>
      </c>
      <c r="F59">
        <f t="shared" si="1"/>
        <v>1</v>
      </c>
    </row>
    <row r="60" spans="2:6" x14ac:dyDescent="0.25">
      <c r="B60" s="3">
        <v>0.83</v>
      </c>
      <c r="C60">
        <v>1</v>
      </c>
      <c r="E60" s="11">
        <f t="shared" si="0"/>
        <v>0.83</v>
      </c>
      <c r="F60">
        <f t="shared" si="1"/>
        <v>1</v>
      </c>
    </row>
    <row r="61" spans="2:6" x14ac:dyDescent="0.25">
      <c r="B61" s="3">
        <v>0.92</v>
      </c>
      <c r="C61">
        <v>1</v>
      </c>
      <c r="E61" s="11">
        <f t="shared" si="0"/>
        <v>0.92</v>
      </c>
      <c r="F61">
        <f t="shared" si="1"/>
        <v>1</v>
      </c>
    </row>
    <row r="62" spans="2:6" x14ac:dyDescent="0.25">
      <c r="B62" s="3">
        <v>1</v>
      </c>
      <c r="C62">
        <v>3</v>
      </c>
      <c r="E62" s="11">
        <f t="shared" si="0"/>
        <v>1</v>
      </c>
      <c r="F62">
        <f t="shared" si="1"/>
        <v>3</v>
      </c>
    </row>
    <row r="63" spans="2:6" x14ac:dyDescent="0.25">
      <c r="B63" s="3">
        <v>2</v>
      </c>
      <c r="C63">
        <v>2</v>
      </c>
      <c r="E63" s="11">
        <f t="shared" si="0"/>
        <v>2</v>
      </c>
      <c r="F63">
        <f t="shared" si="1"/>
        <v>2</v>
      </c>
    </row>
    <row r="64" spans="2:6" x14ac:dyDescent="0.25">
      <c r="B64" s="3">
        <v>3</v>
      </c>
      <c r="C64">
        <v>1</v>
      </c>
      <c r="E64" s="11">
        <f t="shared" si="0"/>
        <v>3</v>
      </c>
      <c r="F64">
        <f t="shared" si="1"/>
        <v>1</v>
      </c>
    </row>
    <row r="65" spans="2:6" x14ac:dyDescent="0.25">
      <c r="B65" s="3">
        <v>5</v>
      </c>
      <c r="C65">
        <v>1</v>
      </c>
      <c r="E65" s="11">
        <f t="shared" si="0"/>
        <v>5</v>
      </c>
      <c r="F65">
        <f t="shared" si="1"/>
        <v>1</v>
      </c>
    </row>
    <row r="66" spans="2:6" x14ac:dyDescent="0.25">
      <c r="B66" s="3">
        <v>6</v>
      </c>
      <c r="C66">
        <v>3</v>
      </c>
      <c r="E66" s="11">
        <f t="shared" si="0"/>
        <v>6</v>
      </c>
      <c r="F66">
        <f t="shared" si="1"/>
        <v>3</v>
      </c>
    </row>
    <row r="67" spans="2:6" x14ac:dyDescent="0.25">
      <c r="B67" s="3">
        <v>7</v>
      </c>
      <c r="C67">
        <v>1</v>
      </c>
      <c r="E67" s="11">
        <f t="shared" si="0"/>
        <v>7</v>
      </c>
      <c r="F67">
        <f t="shared" si="1"/>
        <v>1</v>
      </c>
    </row>
    <row r="68" spans="2:6" x14ac:dyDescent="0.25">
      <c r="B68" s="3">
        <v>8</v>
      </c>
      <c r="C68">
        <v>2</v>
      </c>
      <c r="E68" s="11">
        <f t="shared" si="0"/>
        <v>8</v>
      </c>
      <c r="F68">
        <f t="shared" si="1"/>
        <v>2</v>
      </c>
    </row>
    <row r="69" spans="2:6" x14ac:dyDescent="0.25">
      <c r="B69" s="3">
        <v>9</v>
      </c>
      <c r="C69">
        <v>2</v>
      </c>
      <c r="E69" s="11">
        <f t="shared" si="0"/>
        <v>9</v>
      </c>
      <c r="F69">
        <f t="shared" si="1"/>
        <v>2</v>
      </c>
    </row>
    <row r="70" spans="2:6" x14ac:dyDescent="0.25">
      <c r="B70" s="3">
        <v>10</v>
      </c>
      <c r="C70">
        <v>2</v>
      </c>
      <c r="E70" s="11">
        <f t="shared" si="0"/>
        <v>10</v>
      </c>
      <c r="F70">
        <f t="shared" si="1"/>
        <v>2</v>
      </c>
    </row>
    <row r="71" spans="2:6" x14ac:dyDescent="0.25">
      <c r="B71" s="3">
        <v>11.5</v>
      </c>
      <c r="C71">
        <v>1</v>
      </c>
      <c r="E71" s="11">
        <f t="shared" si="0"/>
        <v>11.5</v>
      </c>
      <c r="F71">
        <f t="shared" si="1"/>
        <v>1</v>
      </c>
    </row>
    <row r="72" spans="2:6" x14ac:dyDescent="0.25">
      <c r="B72" s="3">
        <v>12</v>
      </c>
      <c r="C72">
        <v>2</v>
      </c>
      <c r="E72" s="11">
        <f t="shared" si="0"/>
        <v>12</v>
      </c>
      <c r="F72">
        <f t="shared" si="1"/>
        <v>2</v>
      </c>
    </row>
    <row r="73" spans="2:6" x14ac:dyDescent="0.25">
      <c r="B73" s="3">
        <v>13</v>
      </c>
      <c r="C73">
        <v>3</v>
      </c>
      <c r="E73" s="11">
        <f t="shared" si="0"/>
        <v>13</v>
      </c>
      <c r="F73">
        <f t="shared" si="1"/>
        <v>3</v>
      </c>
    </row>
    <row r="74" spans="2:6" x14ac:dyDescent="0.25">
      <c r="B74" s="3">
        <v>14</v>
      </c>
      <c r="C74">
        <v>2</v>
      </c>
      <c r="E74" s="11">
        <f t="shared" si="0"/>
        <v>14</v>
      </c>
      <c r="F74">
        <f t="shared" si="1"/>
        <v>2</v>
      </c>
    </row>
    <row r="75" spans="2:6" x14ac:dyDescent="0.25">
      <c r="B75" s="3">
        <v>14.5</v>
      </c>
      <c r="C75">
        <v>1</v>
      </c>
      <c r="E75" s="11">
        <f t="shared" si="0"/>
        <v>14.5</v>
      </c>
      <c r="F75">
        <f t="shared" si="1"/>
        <v>1</v>
      </c>
    </row>
    <row r="76" spans="2:6" x14ac:dyDescent="0.25">
      <c r="B76" s="3">
        <v>15</v>
      </c>
      <c r="C76">
        <v>1</v>
      </c>
      <c r="E76" s="11">
        <f t="shared" si="0"/>
        <v>15</v>
      </c>
      <c r="F76">
        <f t="shared" si="1"/>
        <v>1</v>
      </c>
    </row>
    <row r="77" spans="2:6" x14ac:dyDescent="0.25">
      <c r="B77" s="3">
        <v>16</v>
      </c>
      <c r="C77">
        <v>2</v>
      </c>
      <c r="E77" s="11">
        <f t="shared" si="0"/>
        <v>16</v>
      </c>
      <c r="F77">
        <f t="shared" si="1"/>
        <v>2</v>
      </c>
    </row>
    <row r="78" spans="2:6" x14ac:dyDescent="0.25">
      <c r="B78" s="3">
        <v>17</v>
      </c>
      <c r="C78">
        <v>7</v>
      </c>
      <c r="E78" s="11">
        <f t="shared" si="0"/>
        <v>17</v>
      </c>
      <c r="F78">
        <f t="shared" si="1"/>
        <v>7</v>
      </c>
    </row>
    <row r="79" spans="2:6" x14ac:dyDescent="0.25">
      <c r="B79" s="3">
        <v>18</v>
      </c>
      <c r="C79">
        <v>13</v>
      </c>
      <c r="E79" s="11">
        <f t="shared" si="0"/>
        <v>18</v>
      </c>
      <c r="F79">
        <f t="shared" si="1"/>
        <v>13</v>
      </c>
    </row>
    <row r="80" spans="2:6" x14ac:dyDescent="0.25">
      <c r="B80" s="3">
        <v>18.5</v>
      </c>
      <c r="C80">
        <v>3</v>
      </c>
      <c r="E80" s="11">
        <f t="shared" si="0"/>
        <v>18.5</v>
      </c>
      <c r="F80">
        <f t="shared" si="1"/>
        <v>3</v>
      </c>
    </row>
    <row r="81" spans="2:6" x14ac:dyDescent="0.25">
      <c r="B81" s="3">
        <v>19</v>
      </c>
      <c r="C81">
        <v>4</v>
      </c>
      <c r="E81" s="11">
        <f t="shared" si="0"/>
        <v>19</v>
      </c>
      <c r="F81">
        <f t="shared" si="1"/>
        <v>4</v>
      </c>
    </row>
    <row r="82" spans="2:6" x14ac:dyDescent="0.25">
      <c r="B82" s="3">
        <v>20</v>
      </c>
      <c r="C82">
        <v>13</v>
      </c>
      <c r="E82" s="11">
        <f t="shared" si="0"/>
        <v>20</v>
      </c>
      <c r="F82">
        <f t="shared" si="1"/>
        <v>13</v>
      </c>
    </row>
    <row r="83" spans="2:6" x14ac:dyDescent="0.25">
      <c r="B83" s="3">
        <v>21</v>
      </c>
      <c r="C83">
        <v>19</v>
      </c>
      <c r="E83" s="11">
        <f t="shared" si="0"/>
        <v>21</v>
      </c>
      <c r="F83">
        <f t="shared" si="1"/>
        <v>19</v>
      </c>
    </row>
    <row r="84" spans="2:6" x14ac:dyDescent="0.25">
      <c r="B84" s="3">
        <v>22</v>
      </c>
      <c r="C84">
        <v>19</v>
      </c>
      <c r="E84" s="11">
        <f t="shared" si="0"/>
        <v>22</v>
      </c>
      <c r="F84">
        <f t="shared" si="1"/>
        <v>19</v>
      </c>
    </row>
    <row r="85" spans="2:6" x14ac:dyDescent="0.25">
      <c r="B85" s="3">
        <v>22.5</v>
      </c>
      <c r="C85">
        <v>1</v>
      </c>
      <c r="E85" s="11">
        <f t="shared" si="0"/>
        <v>22.5</v>
      </c>
      <c r="F85">
        <f t="shared" si="1"/>
        <v>1</v>
      </c>
    </row>
    <row r="86" spans="2:6" x14ac:dyDescent="0.25">
      <c r="B86" s="3">
        <v>23</v>
      </c>
      <c r="C86">
        <v>14</v>
      </c>
      <c r="E86" s="11">
        <f t="shared" si="0"/>
        <v>23</v>
      </c>
      <c r="F86">
        <f t="shared" si="1"/>
        <v>14</v>
      </c>
    </row>
    <row r="87" spans="2:6" x14ac:dyDescent="0.25">
      <c r="B87" s="3">
        <v>24</v>
      </c>
      <c r="C87">
        <v>17</v>
      </c>
      <c r="E87" s="11">
        <f t="shared" si="0"/>
        <v>24</v>
      </c>
      <c r="F87">
        <f t="shared" si="1"/>
        <v>17</v>
      </c>
    </row>
    <row r="88" spans="2:6" x14ac:dyDescent="0.25">
      <c r="B88" s="3">
        <v>25</v>
      </c>
      <c r="C88">
        <v>15</v>
      </c>
      <c r="E88" s="11">
        <f t="shared" si="0"/>
        <v>25</v>
      </c>
      <c r="F88">
        <f t="shared" si="1"/>
        <v>15</v>
      </c>
    </row>
    <row r="89" spans="2:6" x14ac:dyDescent="0.25">
      <c r="B89" s="3">
        <v>26</v>
      </c>
      <c r="C89">
        <v>17</v>
      </c>
      <c r="E89" s="11">
        <f t="shared" si="0"/>
        <v>26</v>
      </c>
      <c r="F89">
        <f t="shared" si="1"/>
        <v>17</v>
      </c>
    </row>
    <row r="90" spans="2:6" x14ac:dyDescent="0.25">
      <c r="B90" s="3">
        <v>26.5</v>
      </c>
      <c r="C90">
        <v>1</v>
      </c>
      <c r="E90" s="11">
        <f t="shared" si="0"/>
        <v>26.5</v>
      </c>
      <c r="F90">
        <f t="shared" si="1"/>
        <v>1</v>
      </c>
    </row>
    <row r="91" spans="2:6" x14ac:dyDescent="0.25">
      <c r="B91" s="3">
        <v>27</v>
      </c>
      <c r="C91">
        <v>13</v>
      </c>
      <c r="E91" s="11">
        <f t="shared" si="0"/>
        <v>27</v>
      </c>
      <c r="F91">
        <f t="shared" si="1"/>
        <v>13</v>
      </c>
    </row>
    <row r="92" spans="2:6" x14ac:dyDescent="0.25">
      <c r="B92" s="3">
        <v>28</v>
      </c>
      <c r="C92">
        <v>9</v>
      </c>
      <c r="E92" s="11">
        <f t="shared" si="0"/>
        <v>28</v>
      </c>
      <c r="F92">
        <f t="shared" si="1"/>
        <v>9</v>
      </c>
    </row>
    <row r="93" spans="2:6" x14ac:dyDescent="0.25">
      <c r="B93" s="3">
        <v>28.5</v>
      </c>
      <c r="C93">
        <v>1</v>
      </c>
      <c r="E93" s="11">
        <f t="shared" si="0"/>
        <v>28.5</v>
      </c>
      <c r="F93">
        <f t="shared" si="1"/>
        <v>1</v>
      </c>
    </row>
    <row r="94" spans="2:6" x14ac:dyDescent="0.25">
      <c r="B94" s="3">
        <v>29</v>
      </c>
      <c r="C94">
        <v>14</v>
      </c>
      <c r="E94" s="11">
        <f t="shared" si="0"/>
        <v>29</v>
      </c>
      <c r="F94">
        <f t="shared" si="1"/>
        <v>14</v>
      </c>
    </row>
    <row r="95" spans="2:6" x14ac:dyDescent="0.25">
      <c r="B95" s="3">
        <v>30</v>
      </c>
      <c r="C95">
        <v>17</v>
      </c>
      <c r="E95" s="11">
        <f t="shared" si="0"/>
        <v>30</v>
      </c>
      <c r="F95">
        <f t="shared" si="1"/>
        <v>17</v>
      </c>
    </row>
    <row r="96" spans="2:6" x14ac:dyDescent="0.25">
      <c r="B96" s="3">
        <v>31</v>
      </c>
      <c r="C96">
        <v>10</v>
      </c>
      <c r="E96" s="11">
        <f t="shared" si="0"/>
        <v>31</v>
      </c>
      <c r="F96">
        <f t="shared" si="1"/>
        <v>10</v>
      </c>
    </row>
    <row r="97" spans="2:6" x14ac:dyDescent="0.25">
      <c r="B97" s="3">
        <v>32</v>
      </c>
      <c r="C97">
        <v>13</v>
      </c>
      <c r="E97" s="11">
        <f t="shared" si="0"/>
        <v>32</v>
      </c>
      <c r="F97">
        <f t="shared" si="1"/>
        <v>13</v>
      </c>
    </row>
    <row r="98" spans="2:6" x14ac:dyDescent="0.25">
      <c r="B98" s="3">
        <v>32.5</v>
      </c>
      <c r="C98">
        <v>2</v>
      </c>
      <c r="E98" s="11">
        <f t="shared" si="0"/>
        <v>32.5</v>
      </c>
      <c r="F98">
        <f t="shared" si="1"/>
        <v>2</v>
      </c>
    </row>
    <row r="99" spans="2:6" x14ac:dyDescent="0.25">
      <c r="B99" s="3">
        <v>33</v>
      </c>
      <c r="C99">
        <v>6</v>
      </c>
      <c r="E99" s="11">
        <f t="shared" si="0"/>
        <v>33</v>
      </c>
      <c r="F99">
        <f t="shared" si="1"/>
        <v>6</v>
      </c>
    </row>
    <row r="100" spans="2:6" x14ac:dyDescent="0.25">
      <c r="B100" s="3">
        <v>34</v>
      </c>
      <c r="C100">
        <v>2</v>
      </c>
      <c r="E100" s="11">
        <f t="shared" si="0"/>
        <v>34</v>
      </c>
      <c r="F100">
        <f t="shared" si="1"/>
        <v>2</v>
      </c>
    </row>
    <row r="101" spans="2:6" x14ac:dyDescent="0.25">
      <c r="B101" s="3">
        <v>34.5</v>
      </c>
      <c r="C101">
        <v>1</v>
      </c>
      <c r="E101" s="11">
        <f t="shared" si="0"/>
        <v>34.5</v>
      </c>
      <c r="F101">
        <f t="shared" si="1"/>
        <v>1</v>
      </c>
    </row>
    <row r="102" spans="2:6" x14ac:dyDescent="0.25">
      <c r="B102" s="3">
        <v>35</v>
      </c>
      <c r="C102">
        <v>8</v>
      </c>
      <c r="E102" s="11">
        <f t="shared" si="0"/>
        <v>35</v>
      </c>
      <c r="F102">
        <f t="shared" si="1"/>
        <v>8</v>
      </c>
    </row>
    <row r="103" spans="2:6" x14ac:dyDescent="0.25">
      <c r="B103" s="3">
        <v>36</v>
      </c>
      <c r="C103">
        <v>13</v>
      </c>
      <c r="E103" s="11">
        <f t="shared" si="0"/>
        <v>36</v>
      </c>
      <c r="F103">
        <f t="shared" si="1"/>
        <v>13</v>
      </c>
    </row>
    <row r="104" spans="2:6" x14ac:dyDescent="0.25">
      <c r="B104" s="3">
        <v>36.5</v>
      </c>
      <c r="C104">
        <v>1</v>
      </c>
      <c r="E104" s="11">
        <f t="shared" si="0"/>
        <v>36.5</v>
      </c>
      <c r="F104">
        <f t="shared" si="1"/>
        <v>1</v>
      </c>
    </row>
    <row r="105" spans="2:6" x14ac:dyDescent="0.25">
      <c r="B105" s="3">
        <v>37</v>
      </c>
      <c r="C105">
        <v>5</v>
      </c>
      <c r="E105" s="11">
        <f t="shared" si="0"/>
        <v>37</v>
      </c>
      <c r="F105">
        <f t="shared" si="1"/>
        <v>5</v>
      </c>
    </row>
    <row r="106" spans="2:6" x14ac:dyDescent="0.25">
      <c r="B106" s="3">
        <v>38</v>
      </c>
      <c r="C106">
        <v>7</v>
      </c>
      <c r="E106" s="11">
        <f t="shared" si="0"/>
        <v>38</v>
      </c>
      <c r="F106">
        <f t="shared" si="1"/>
        <v>7</v>
      </c>
    </row>
    <row r="107" spans="2:6" x14ac:dyDescent="0.25">
      <c r="B107" s="3">
        <v>38.5</v>
      </c>
      <c r="C107">
        <v>1</v>
      </c>
      <c r="E107" s="11">
        <f t="shared" si="0"/>
        <v>38.5</v>
      </c>
      <c r="F107">
        <f t="shared" si="1"/>
        <v>1</v>
      </c>
    </row>
    <row r="108" spans="2:6" x14ac:dyDescent="0.25">
      <c r="B108" s="3">
        <v>39</v>
      </c>
      <c r="C108">
        <v>7</v>
      </c>
      <c r="E108" s="11">
        <f t="shared" si="0"/>
        <v>39</v>
      </c>
      <c r="F108">
        <f t="shared" si="1"/>
        <v>7</v>
      </c>
    </row>
    <row r="109" spans="2:6" x14ac:dyDescent="0.25">
      <c r="B109" s="3">
        <v>40</v>
      </c>
      <c r="C109">
        <v>7</v>
      </c>
      <c r="E109" s="11">
        <f t="shared" si="0"/>
        <v>40</v>
      </c>
      <c r="F109">
        <f t="shared" si="1"/>
        <v>7</v>
      </c>
    </row>
    <row r="110" spans="2:6" x14ac:dyDescent="0.25">
      <c r="B110" s="3">
        <v>40.5</v>
      </c>
      <c r="C110">
        <v>1</v>
      </c>
      <c r="E110" s="11">
        <f t="shared" si="0"/>
        <v>40.5</v>
      </c>
      <c r="F110">
        <f t="shared" si="1"/>
        <v>1</v>
      </c>
    </row>
    <row r="111" spans="2:6" x14ac:dyDescent="0.25">
      <c r="B111" s="3">
        <v>41</v>
      </c>
      <c r="C111">
        <v>7</v>
      </c>
      <c r="E111" s="11">
        <f t="shared" si="0"/>
        <v>41</v>
      </c>
      <c r="F111">
        <f t="shared" si="1"/>
        <v>7</v>
      </c>
    </row>
    <row r="112" spans="2:6" x14ac:dyDescent="0.25">
      <c r="B112" s="3">
        <v>42</v>
      </c>
      <c r="C112">
        <v>8</v>
      </c>
      <c r="E112" s="11">
        <f t="shared" si="0"/>
        <v>42</v>
      </c>
      <c r="F112">
        <f t="shared" si="1"/>
        <v>8</v>
      </c>
    </row>
    <row r="113" spans="2:6" x14ac:dyDescent="0.25">
      <c r="B113" s="3">
        <v>43</v>
      </c>
      <c r="C113">
        <v>6</v>
      </c>
      <c r="E113" s="11">
        <f t="shared" si="0"/>
        <v>43</v>
      </c>
      <c r="F113">
        <f t="shared" si="1"/>
        <v>6</v>
      </c>
    </row>
    <row r="114" spans="2:6" x14ac:dyDescent="0.25">
      <c r="B114" s="3">
        <v>44</v>
      </c>
      <c r="C114">
        <v>4</v>
      </c>
      <c r="E114" s="11">
        <f t="shared" si="0"/>
        <v>44</v>
      </c>
      <c r="F114">
        <f t="shared" si="1"/>
        <v>4</v>
      </c>
    </row>
    <row r="115" spans="2:6" x14ac:dyDescent="0.25">
      <c r="B115" s="3">
        <v>45</v>
      </c>
      <c r="C115">
        <v>11</v>
      </c>
      <c r="E115" s="11">
        <f t="shared" si="0"/>
        <v>45</v>
      </c>
      <c r="F115">
        <f t="shared" si="1"/>
        <v>11</v>
      </c>
    </row>
    <row r="116" spans="2:6" x14ac:dyDescent="0.25">
      <c r="B116" s="3">
        <v>46</v>
      </c>
      <c r="C116">
        <v>5</v>
      </c>
      <c r="E116" s="11">
        <f t="shared" si="0"/>
        <v>46</v>
      </c>
      <c r="F116">
        <f t="shared" si="1"/>
        <v>5</v>
      </c>
    </row>
    <row r="117" spans="2:6" x14ac:dyDescent="0.25">
      <c r="B117" s="3">
        <v>47</v>
      </c>
      <c r="C117">
        <v>5</v>
      </c>
      <c r="E117" s="11">
        <f t="shared" si="0"/>
        <v>47</v>
      </c>
      <c r="F117">
        <f t="shared" si="1"/>
        <v>5</v>
      </c>
    </row>
    <row r="118" spans="2:6" x14ac:dyDescent="0.25">
      <c r="B118" s="3">
        <v>48</v>
      </c>
      <c r="C118">
        <v>8</v>
      </c>
      <c r="E118" s="11">
        <f t="shared" si="0"/>
        <v>48</v>
      </c>
      <c r="F118">
        <f t="shared" si="1"/>
        <v>8</v>
      </c>
    </row>
    <row r="119" spans="2:6" x14ac:dyDescent="0.25">
      <c r="B119" s="3">
        <v>49</v>
      </c>
      <c r="C119">
        <v>7</v>
      </c>
      <c r="E119" s="11">
        <f t="shared" si="0"/>
        <v>49</v>
      </c>
      <c r="F119">
        <f t="shared" si="1"/>
        <v>7</v>
      </c>
    </row>
    <row r="120" spans="2:6" x14ac:dyDescent="0.25">
      <c r="B120" s="3">
        <v>50</v>
      </c>
      <c r="C120">
        <v>11</v>
      </c>
      <c r="E120" s="11">
        <f t="shared" si="0"/>
        <v>50</v>
      </c>
      <c r="F120">
        <f t="shared" si="1"/>
        <v>11</v>
      </c>
    </row>
    <row r="121" spans="2:6" x14ac:dyDescent="0.25">
      <c r="B121" s="3">
        <v>51</v>
      </c>
      <c r="C121">
        <v>1</v>
      </c>
      <c r="E121" s="11">
        <f t="shared" ref="E121:E135" si="2">+B121</f>
        <v>51</v>
      </c>
      <c r="F121">
        <f t="shared" ref="F121:F135" si="3">+C121</f>
        <v>1</v>
      </c>
    </row>
    <row r="122" spans="2:6" x14ac:dyDescent="0.25">
      <c r="B122" s="3">
        <v>53</v>
      </c>
      <c r="C122">
        <v>3</v>
      </c>
      <c r="E122" s="11">
        <f t="shared" si="2"/>
        <v>53</v>
      </c>
      <c r="F122">
        <f t="shared" si="3"/>
        <v>3</v>
      </c>
    </row>
    <row r="123" spans="2:6" x14ac:dyDescent="0.25">
      <c r="B123" s="3">
        <v>54</v>
      </c>
      <c r="C123">
        <v>2</v>
      </c>
      <c r="E123" s="11">
        <f t="shared" si="2"/>
        <v>54</v>
      </c>
      <c r="F123">
        <f t="shared" si="3"/>
        <v>2</v>
      </c>
    </row>
    <row r="124" spans="2:6" x14ac:dyDescent="0.25">
      <c r="B124" s="3">
        <v>55</v>
      </c>
      <c r="C124">
        <v>6</v>
      </c>
      <c r="E124" s="11">
        <f t="shared" si="2"/>
        <v>55</v>
      </c>
      <c r="F124">
        <f t="shared" si="3"/>
        <v>6</v>
      </c>
    </row>
    <row r="125" spans="2:6" x14ac:dyDescent="0.25">
      <c r="B125" s="3">
        <v>57</v>
      </c>
      <c r="C125">
        <v>3</v>
      </c>
      <c r="E125" s="11">
        <f t="shared" si="2"/>
        <v>57</v>
      </c>
      <c r="F125">
        <f t="shared" si="3"/>
        <v>3</v>
      </c>
    </row>
    <row r="126" spans="2:6" x14ac:dyDescent="0.25">
      <c r="B126" s="3">
        <v>58</v>
      </c>
      <c r="C126">
        <v>1</v>
      </c>
      <c r="E126" s="11">
        <f t="shared" si="2"/>
        <v>58</v>
      </c>
      <c r="F126">
        <f t="shared" si="3"/>
        <v>1</v>
      </c>
    </row>
    <row r="127" spans="2:6" x14ac:dyDescent="0.25">
      <c r="B127" s="3">
        <v>59</v>
      </c>
      <c r="C127">
        <v>1</v>
      </c>
      <c r="E127" s="11">
        <f t="shared" si="2"/>
        <v>59</v>
      </c>
      <c r="F127">
        <f t="shared" si="3"/>
        <v>1</v>
      </c>
    </row>
    <row r="128" spans="2:6" x14ac:dyDescent="0.25">
      <c r="B128" s="3">
        <v>60</v>
      </c>
      <c r="C128">
        <v>3</v>
      </c>
      <c r="E128" s="11">
        <f t="shared" si="2"/>
        <v>60</v>
      </c>
      <c r="F128">
        <f t="shared" si="3"/>
        <v>3</v>
      </c>
    </row>
    <row r="129" spans="2:6" x14ac:dyDescent="0.25">
      <c r="B129" s="3">
        <v>60.5</v>
      </c>
      <c r="C129">
        <v>1</v>
      </c>
      <c r="E129" s="11">
        <f t="shared" si="2"/>
        <v>60.5</v>
      </c>
      <c r="F129">
        <f t="shared" si="3"/>
        <v>1</v>
      </c>
    </row>
    <row r="130" spans="2:6" x14ac:dyDescent="0.25">
      <c r="B130" s="3">
        <v>61</v>
      </c>
      <c r="C130">
        <v>2</v>
      </c>
      <c r="E130" s="11">
        <f t="shared" si="2"/>
        <v>61</v>
      </c>
      <c r="F130">
        <f t="shared" si="3"/>
        <v>2</v>
      </c>
    </row>
    <row r="131" spans="2:6" x14ac:dyDescent="0.25">
      <c r="B131" s="3">
        <v>62</v>
      </c>
      <c r="C131">
        <v>1</v>
      </c>
      <c r="E131" s="11">
        <f t="shared" si="2"/>
        <v>62</v>
      </c>
      <c r="F131">
        <f t="shared" si="3"/>
        <v>1</v>
      </c>
    </row>
    <row r="132" spans="2:6" x14ac:dyDescent="0.25">
      <c r="B132" s="3">
        <v>63</v>
      </c>
      <c r="C132">
        <v>2</v>
      </c>
      <c r="E132" s="11">
        <f t="shared" si="2"/>
        <v>63</v>
      </c>
      <c r="F132">
        <f t="shared" si="3"/>
        <v>2</v>
      </c>
    </row>
    <row r="133" spans="2:6" x14ac:dyDescent="0.25">
      <c r="B133" s="3">
        <v>64</v>
      </c>
      <c r="C133">
        <v>3</v>
      </c>
      <c r="E133" s="11">
        <f t="shared" si="2"/>
        <v>64</v>
      </c>
      <c r="F133">
        <f t="shared" si="3"/>
        <v>3</v>
      </c>
    </row>
    <row r="134" spans="2:6" x14ac:dyDescent="0.25">
      <c r="B134" s="3">
        <v>67</v>
      </c>
      <c r="C134">
        <v>1</v>
      </c>
      <c r="E134" s="11">
        <f t="shared" si="2"/>
        <v>67</v>
      </c>
      <c r="F134">
        <f t="shared" si="3"/>
        <v>1</v>
      </c>
    </row>
    <row r="135" spans="2:6" x14ac:dyDescent="0.25">
      <c r="B135" s="3">
        <v>76</v>
      </c>
      <c r="C135">
        <v>1</v>
      </c>
      <c r="E135" s="11">
        <f t="shared" si="2"/>
        <v>76</v>
      </c>
      <c r="F135">
        <f t="shared" si="3"/>
        <v>1</v>
      </c>
    </row>
    <row r="136" spans="2:6" x14ac:dyDescent="0.25">
      <c r="B136" s="3" t="s">
        <v>800</v>
      </c>
      <c r="C136">
        <v>418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B01E22-B23A-418D-90CE-4BCE7C101F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</vt:lpstr>
      <vt:lpstr>DB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Elkin Rodriguez Escamilla</dc:creator>
  <cp:lastModifiedBy>Elkin Rodriguez Escamilla</cp:lastModifiedBy>
  <dcterms:created xsi:type="dcterms:W3CDTF">2025-05-20T15:25:28Z</dcterms:created>
  <dcterms:modified xsi:type="dcterms:W3CDTF">2025-05-23T01:27:57Z</dcterms:modified>
</cp:coreProperties>
</file>